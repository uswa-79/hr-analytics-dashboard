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-108" yWindow="-108" windowWidth="23256" windowHeight="12576"/>
  </bookViews>
  <sheets>
    <sheet name="Sheet1" sheetId="1" r:id="rId1"/>
    <sheet name="Sheet2" sheetId="2" r:id="rId2"/>
    <sheet name="Sheet3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4" i="1" l="1"/>
  <c r="G64" i="1"/>
  <c r="O26" i="1"/>
  <c r="O23" i="1"/>
  <c r="O20" i="1"/>
  <c r="O17" i="1"/>
  <c r="O15" i="1"/>
  <c r="O13" i="1"/>
  <c r="O11" i="1"/>
  <c r="O9" i="1"/>
  <c r="O7" i="1"/>
  <c r="O5" i="1"/>
  <c r="O3" i="1"/>
</calcChain>
</file>

<file path=xl/sharedStrings.xml><?xml version="1.0" encoding="utf-8"?>
<sst xmlns="http://schemas.openxmlformats.org/spreadsheetml/2006/main" count="503" uniqueCount="80">
  <si>
    <t>HR Analytics Dashboard</t>
  </si>
  <si>
    <t>Employee ID</t>
  </si>
  <si>
    <t>Month</t>
  </si>
  <si>
    <t>Employee Name</t>
  </si>
  <si>
    <t>Department</t>
  </si>
  <si>
    <t>Designation</t>
  </si>
  <si>
    <t>Gender</t>
  </si>
  <si>
    <t>Salary</t>
  </si>
  <si>
    <t>Attendance %</t>
  </si>
  <si>
    <t>Overtime Hours</t>
  </si>
  <si>
    <t>Performance Rating</t>
  </si>
  <si>
    <t>Bonus</t>
  </si>
  <si>
    <t>Status</t>
  </si>
  <si>
    <t>Jan</t>
  </si>
  <si>
    <t>Ali</t>
  </si>
  <si>
    <t>Sales</t>
  </si>
  <si>
    <t>Manager</t>
  </si>
  <si>
    <t>Male</t>
  </si>
  <si>
    <t>Excellent</t>
  </si>
  <si>
    <t>Sara</t>
  </si>
  <si>
    <t>Marketing</t>
  </si>
  <si>
    <t>Executive</t>
  </si>
  <si>
    <t>Female</t>
  </si>
  <si>
    <t>Ahmed</t>
  </si>
  <si>
    <t>Finance</t>
  </si>
  <si>
    <t>Analyst</t>
  </si>
  <si>
    <t>Good</t>
  </si>
  <si>
    <t>Hina</t>
  </si>
  <si>
    <t>HR</t>
  </si>
  <si>
    <t>Usman</t>
  </si>
  <si>
    <t>IT</t>
  </si>
  <si>
    <t>Needs Improvement</t>
  </si>
  <si>
    <t>Fatima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</si>
  <si>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</si>
  <si>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</si>
  <si>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</si>
  <si>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</si>
  <si>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</si>
  <si>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</si>
  <si>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</si>
  <si>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</si>
  <si>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</si>
  <si>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</t>
  </si>
  <si>
    <t>Total Salary</t>
  </si>
  <si>
    <t>Total Bonus</t>
  </si>
  <si>
    <t>Average Rating</t>
  </si>
  <si>
    <t>Highest Salary</t>
  </si>
  <si>
    <t>Lowest Salary</t>
  </si>
  <si>
    <t>Total Employees</t>
  </si>
  <si>
    <t>Salary by Department</t>
  </si>
  <si>
    <t>Average Attendance by Department</t>
  </si>
  <si>
    <t>Excellent Employees</t>
  </si>
  <si>
    <t>Highest Performing Department</t>
  </si>
  <si>
    <t>Average Attendance%</t>
  </si>
  <si>
    <t>Total Salary(PKR)</t>
  </si>
  <si>
    <t>Attendance%</t>
  </si>
  <si>
    <t>Ratings</t>
  </si>
  <si>
    <t>Row Labels</t>
  </si>
  <si>
    <t>Grand Total</t>
  </si>
  <si>
    <t>Sum of Salary</t>
  </si>
  <si>
    <t>Sum of Attendance %</t>
  </si>
  <si>
    <t>Sum of Bonus</t>
  </si>
  <si>
    <t>Count of Employee Name</t>
  </si>
  <si>
    <t>Sum of Performance Rating</t>
  </si>
  <si>
    <t>Average of Attendance %</t>
  </si>
  <si>
    <t>Business Summary</t>
  </si>
  <si>
    <t>Key Findings</t>
  </si>
  <si>
    <t>Risks</t>
  </si>
  <si>
    <t>High overtime hours that may indicate workload issues.</t>
  </si>
  <si>
    <t>Recommendations</t>
  </si>
  <si>
    <t>Reward top performers.</t>
  </si>
  <si>
    <t>Provide training for low-performing employees.</t>
  </si>
  <si>
    <t>Monitor overtime to reduce burnout.</t>
  </si>
  <si>
    <t>Improve attendance in underperforming departments</t>
  </si>
  <si>
    <t xml:space="preserve">Department of Sales has the hidgest payroll by maitaining their average attendance </t>
  </si>
  <si>
    <t>Top-performing employee of the year is Ali</t>
  </si>
  <si>
    <t>September is with the highest attendance.</t>
  </si>
  <si>
    <t xml:space="preserve">Gender are equally in all the departments </t>
  </si>
  <si>
    <t>Departments od IT and Finance are  with low attendance.</t>
  </si>
  <si>
    <t>Employees with low rating needing improvement.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</si>
</sst>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PKR]\ #,##0_);[Red]\([$PKR]\ #,##0\)"/>
    <numFmt numFmtId="165" formatCode="_(* #,##0_);_(* \(#,##0\);_(* &quot;-&quot;??_);_(@_)"/>
    <numFmt numFmtId="166" formatCode="_([$PKR]\ * #,##0_);_([$PKR]\ * \(#,##0\);_([$PKR]\ * &quot;-&quot;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3" fillId="2" borderId="0" xfId="0" applyFont="1" applyFill="1"/>
    <xf numFmtId="0" fontId="0" fillId="2" borderId="0" xfId="0" applyFill="1"/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2" fontId="4" fillId="2" borderId="0" xfId="0" applyNumberFormat="1" applyFont="1" applyFill="1"/>
    <xf numFmtId="164" fontId="0" fillId="0" borderId="0" xfId="0" applyNumberFormat="1"/>
    <xf numFmtId="164" fontId="4" fillId="2" borderId="0" xfId="0" applyNumberFormat="1" applyFont="1" applyFill="1"/>
    <xf numFmtId="164" fontId="4" fillId="2" borderId="0" xfId="0" applyNumberFormat="1" applyFont="1" applyFill="1" applyAlignment="1">
      <alignment horizontal="right"/>
    </xf>
    <xf numFmtId="165" fontId="0" fillId="0" borderId="4" xfId="1" applyNumberFormat="1" applyFont="1" applyBorder="1"/>
    <xf numFmtId="0" fontId="2" fillId="0" borderId="5" xfId="0" applyFont="1" applyBorder="1" applyAlignment="1">
      <alignment horizontal="right" vertical="center"/>
    </xf>
    <xf numFmtId="0" fontId="2" fillId="0" borderId="5" xfId="0" applyFont="1" applyBorder="1" applyAlignment="1">
      <alignment vertical="center"/>
    </xf>
    <xf numFmtId="166" fontId="2" fillId="0" borderId="0" xfId="0" applyNumberFormat="1" applyFont="1" applyAlignment="1">
      <alignment horizontal="left" vertical="center"/>
    </xf>
    <xf numFmtId="166" fontId="0" fillId="0" borderId="0" xfId="0" applyNumberFormat="1" applyAlignment="1">
      <alignment horizontal="right" vertical="center"/>
    </xf>
    <xf numFmtId="166" fontId="2" fillId="0" borderId="5" xfId="0" applyNumberFormat="1" applyFont="1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 indent="1"/>
    </xf>
    <xf numFmtId="2" fontId="0" fillId="0" borderId="0" xfId="0" applyNumberForma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7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39">
    <dxf>
      <font>
        <b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</font>
      <numFmt numFmtId="166" formatCode="_([$PKR]\ * #,##0_);_([$PKR]\ * \(#,##0\);_([$PKR]\ * &quot;-&quot;_);_(@_)"/>
      <alignment horizontal="right" vertical="center" textRotation="0" wrapText="0" indent="0" justifyLastLine="0" shrinkToFit="0" readingOrder="0"/>
    </dxf>
    <dxf>
      <numFmt numFmtId="166" formatCode="_([$PKR]\ * #,##0_);_([$PKR]\ * \(#,##0\);_([$PKR]\ * &quot;-&quot;_);_(@_)"/>
      <alignment horizontal="right" vertical="center" textRotation="0" wrapText="0" indent="0" justifyLastLine="0" shrinkToFit="0" readingOrder="0"/>
    </dxf>
    <dxf>
      <font>
        <b/>
      </font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/>
      </font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/>
      </font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/>
      </font>
      <numFmt numFmtId="166" formatCode="_([$PKR]\ * #,##0_);_([$PKR]\ * \(#,##0\);_([$PKR]\ * &quot;-&quot;_);_(@_)"/>
      <alignment horizontal="right" vertical="center" textRotation="0" wrapText="0" indent="0" justifyLastLine="0" shrinkToFit="0" readingOrder="0"/>
    </dxf>
    <dxf>
      <numFmt numFmtId="166" formatCode="_([$PKR]\ * #,##0_);_([$PKR]\ * \(#,##0\);_([$PKR]\ * &quot;-&quot;_);_(@_)"/>
      <alignment horizontal="right" vertical="center" textRotation="0" wrapText="0" indent="0" justifyLastLine="0" shrinkToFit="0" readingOrder="0"/>
    </dxf>
    <dxf>
      <font>
        <b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</font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border>
        <top style="thin">
          <color indexed="64"/>
        </top>
      </border>
    </dxf>
    <dxf>
      <font>
        <b/>
      </font>
    </dxf>
    <dxf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[09 HR Analytics Dashboard.xlsx]Sheet1!PivotTable1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Salary by Department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spPr>
          <a:solidFill>
            <a:schemeClr val="tx2"/>
          </a:solidFill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cat>
            <c:strRef>
              <c:f>Sheet1!$A$70:$A$75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Sheet1!$B$70:$B$75</c:f>
              <c:numCache>
                <c:formatCode>General</c:formatCode>
                <c:ptCount val="5"/>
                <c:pt idx="0">
                  <c:v>1490000</c:v>
                </c:pt>
                <c:pt idx="1">
                  <c:v>1190000</c:v>
                </c:pt>
                <c:pt idx="2">
                  <c:v>1590000</c:v>
                </c:pt>
                <c:pt idx="3">
                  <c:v>1290000</c:v>
                </c:pt>
                <c:pt idx="4">
                  <c:v>3230000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1D8-48A8-95E9-4133D2E3B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4974336"/>
        <c:axId val="244975872"/>
      </c:barChart>
      <c:catAx>
        <c:axId val="2449743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4975872"/>
        <c:crosses val="autoZero"/>
        <c:auto val="1"/>
        <c:lblAlgn val="ctr"/>
        <c:lblOffset val="100"/>
        <c:noMultiLvlLbl val="0"/>
      </c:catAx>
      <c:valAx>
        <c:axId val="244975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49743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[09 HR Analytics Dashboard.xlsx]Sheet1!PivotTable2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Attendance by Month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spPr>
          <a:solidFill>
            <a:schemeClr val="tx2"/>
          </a:solidFill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cat>
            <c:strRef>
              <c:f>Sheet1!$I$68:$I$78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Sheet1!$J$68:$J$78</c:f>
              <c:numCache>
                <c:formatCode>General</c:formatCode>
                <c:ptCount val="10"/>
                <c:pt idx="0">
                  <c:v>546</c:v>
                </c:pt>
                <c:pt idx="1">
                  <c:v>543</c:v>
                </c:pt>
                <c:pt idx="2">
                  <c:v>549</c:v>
                </c:pt>
                <c:pt idx="3">
                  <c:v>550</c:v>
                </c:pt>
                <c:pt idx="4">
                  <c:v>547</c:v>
                </c:pt>
                <c:pt idx="5">
                  <c:v>551</c:v>
                </c:pt>
                <c:pt idx="6">
                  <c:v>548</c:v>
                </c:pt>
                <c:pt idx="7">
                  <c:v>550</c:v>
                </c:pt>
                <c:pt idx="8">
                  <c:v>553</c:v>
                </c:pt>
                <c:pt idx="9">
                  <c:v>552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C06-4B6F-A88B-E1EBA13B6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4988928"/>
        <c:axId val="245007104"/>
      </c:barChart>
      <c:catAx>
        <c:axId val="244988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5007104"/>
        <c:crosses val="autoZero"/>
        <c:auto val="1"/>
        <c:lblAlgn val="ctr"/>
        <c:lblOffset val="100"/>
        <c:noMultiLvlLbl val="0"/>
      </c:catAx>
      <c:valAx>
        <c:axId val="245007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49889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[09 HR Analytics Dashboard.xlsx]Sheet1!PivotTable3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Bonus by Department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spPr>
          <a:solidFill>
            <a:schemeClr val="tx2"/>
          </a:solidFill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cat>
            <c:strRef>
              <c:f>Sheet1!$A$87:$A$92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Sheet1!$B$87:$B$92</c:f>
              <c:numCache>
                <c:formatCode>General</c:formatCode>
                <c:ptCount val="5"/>
                <c:pt idx="0">
                  <c:v>74500</c:v>
                </c:pt>
                <c:pt idx="1">
                  <c:v>119000</c:v>
                </c:pt>
                <c:pt idx="2">
                  <c:v>79500</c:v>
                </c:pt>
                <c:pt idx="3">
                  <c:v>129000</c:v>
                </c:pt>
                <c:pt idx="4">
                  <c:v>323000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74D-4717-9D86-E09F87CD8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032448"/>
        <c:axId val="245033984"/>
      </c:barChart>
      <c:catAx>
        <c:axId val="2450324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5033984"/>
        <c:crosses val="autoZero"/>
        <c:auto val="1"/>
        <c:lblAlgn val="ctr"/>
        <c:lblOffset val="100"/>
        <c:noMultiLvlLbl val="0"/>
      </c:catAx>
      <c:valAx>
        <c:axId val="245033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0324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[09 HR Analytics Dashboard.xlsx]Sheet1!PivotTable4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Employee Count by Department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spPr>
          <a:solidFill>
            <a:schemeClr val="tx2"/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00"/>
          </a:solidFill>
        </c:spPr>
      </c:pivotFmt>
      <c:pivotFmt>
        <c:idx val="3"/>
        <c:spPr>
          <a:solidFill>
            <a:srgbClr val="FF0000"/>
          </a:solidFill>
        </c:spPr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</c:spPr>
      </c:pivotFmt>
      <c:pivotFmt>
        <c:idx val="5"/>
        <c:spPr>
          <a:solidFill>
            <a:srgbClr val="92D050"/>
          </a:solidFill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Sheet1!$J$86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</c:spPr>
          <c:dPt>
            <c:idx val="0"/>
            <c:bubble3D val="0"/>
            <c:spPr>
              <a:solidFill>
                <a:srgbClr val="FFFF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034-4F24-A891-CF8DEBBA0F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034-4F24-A891-CF8DEBBA0F67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034-4F24-A891-CF8DEBBA0F67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034-4F24-A891-CF8DEBBA0F67}"/>
              </c:ext>
            </c:extLst>
          </c:dPt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Sheet1!$I$87:$I$92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Sheet1!$J$87:$J$92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8034-4F24-A891-CF8DEBBA0F6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[09 HR Analytics Dashboard.xlsx]Sheet1!PivotTable5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Performance Rating by Department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spPr>
          <a:solidFill>
            <a:schemeClr val="tx2"/>
          </a:solidFill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Sheet1!$B$100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cat>
            <c:strRef>
              <c:f>Sheet1!$A$101:$A$106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Sheet1!$B$101:$B$106</c:f>
              <c:numCache>
                <c:formatCode>General</c:formatCode>
                <c:ptCount val="5"/>
                <c:pt idx="0">
                  <c:v>30</c:v>
                </c:pt>
                <c:pt idx="1">
                  <c:v>50</c:v>
                </c:pt>
                <c:pt idx="2">
                  <c:v>20</c:v>
                </c:pt>
                <c:pt idx="3">
                  <c:v>40</c:v>
                </c:pt>
                <c:pt idx="4">
                  <c:v>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F2-4EA6-A908-6E632001C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762688"/>
        <c:axId val="245780864"/>
      </c:barChart>
      <c:catAx>
        <c:axId val="24576268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245780864"/>
        <c:crosses val="autoZero"/>
        <c:auto val="1"/>
        <c:lblAlgn val="ctr"/>
        <c:lblOffset val="100"/>
        <c:noMultiLvlLbl val="0"/>
      </c:catAx>
      <c:valAx>
        <c:axId val="24578086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457626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[09 HR Analytics Dashboard.xlsx]Sheet1!PivotTable7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Gender Distribution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spPr>
          <a:solidFill>
            <a:srgbClr val="FFFF00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</c:spP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Sheet1!$J$100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multiLvlStrRef>
              <c:f>Sheet1!$I$101:$I$112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Finance</c:v>
                  </c:pt>
                  <c:pt idx="1">
                    <c:v>HR</c:v>
                  </c:pt>
                  <c:pt idx="2">
                    <c:v>IT</c:v>
                  </c:pt>
                  <c:pt idx="3">
                    <c:v>Marketing</c:v>
                  </c:pt>
                  <c:pt idx="4">
                    <c:v>Sales</c:v>
                  </c:pt>
                </c:lvl>
              </c:multiLvlStrCache>
            </c:multiLvlStrRef>
          </c:cat>
          <c:val>
            <c:numRef>
              <c:f>Sheet1!$J$101:$J$112</c:f>
              <c:numCache>
                <c:formatCode>General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FA-4307-BB43-F2EC8F8CE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802880"/>
        <c:axId val="245804416"/>
      </c:barChart>
      <c:catAx>
        <c:axId val="2458028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5804416"/>
        <c:crosses val="autoZero"/>
        <c:auto val="1"/>
        <c:lblAlgn val="ctr"/>
        <c:lblOffset val="100"/>
        <c:noMultiLvlLbl val="0"/>
      </c:catAx>
      <c:valAx>
        <c:axId val="245804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8028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[09 HR Analytics Dashboard.xlsx]Sheet1!PivotTable8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Salary by Employee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spPr>
          <a:solidFill>
            <a:schemeClr val="tx2"/>
          </a:solidFill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cat>
            <c:strRef>
              <c:f>Sheet1!$A$117:$A$123</c:f>
              <c:strCache>
                <c:ptCount val="6"/>
                <c:pt idx="0">
                  <c:v>Ahmed</c:v>
                </c:pt>
                <c:pt idx="1">
                  <c:v>Ali</c:v>
                </c:pt>
                <c:pt idx="2">
                  <c:v>Fatima</c:v>
                </c:pt>
                <c:pt idx="3">
                  <c:v>Hina</c:v>
                </c:pt>
                <c:pt idx="4">
                  <c:v>Sara</c:v>
                </c:pt>
                <c:pt idx="5">
                  <c:v>Usman</c:v>
                </c:pt>
              </c:strCache>
            </c:strRef>
          </c:cat>
          <c:val>
            <c:numRef>
              <c:f>Sheet1!$B$117:$B$123</c:f>
              <c:numCache>
                <c:formatCode>General</c:formatCode>
                <c:ptCount val="6"/>
                <c:pt idx="0">
                  <c:v>1490000</c:v>
                </c:pt>
                <c:pt idx="1">
                  <c:v>1890000</c:v>
                </c:pt>
                <c:pt idx="2">
                  <c:v>1340000</c:v>
                </c:pt>
                <c:pt idx="3">
                  <c:v>1190000</c:v>
                </c:pt>
                <c:pt idx="4">
                  <c:v>1290000</c:v>
                </c:pt>
                <c:pt idx="5">
                  <c:v>1590000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60-4A17-966C-F241630B8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906048"/>
        <c:axId val="245916032"/>
      </c:barChart>
      <c:catAx>
        <c:axId val="2459060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5916032"/>
        <c:crosses val="autoZero"/>
        <c:auto val="1"/>
        <c:lblAlgn val="ctr"/>
        <c:lblOffset val="100"/>
        <c:noMultiLvlLbl val="0"/>
      </c:catAx>
      <c:valAx>
        <c:axId val="245916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9060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[09 HR Analytics Dashboard.xlsx]Sheet1!PivotTable9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Attendance vs Rating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spPr>
          <a:solidFill>
            <a:schemeClr val="tx2"/>
          </a:solidFill>
        </c:spPr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spPr>
          <a:solidFill>
            <a:schemeClr val="tx2"/>
          </a:solidFill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Sheet1!$J$116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cat>
            <c:strRef>
              <c:f>Sheet1!$I$117:$I$122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Sheet1!$J$117:$J$122</c:f>
              <c:numCache>
                <c:formatCode>0.00</c:formatCode>
                <c:ptCount val="5"/>
                <c:pt idx="0">
                  <c:v>87.9</c:v>
                </c:pt>
                <c:pt idx="1">
                  <c:v>96</c:v>
                </c:pt>
                <c:pt idx="2">
                  <c:v>83.1</c:v>
                </c:pt>
                <c:pt idx="3">
                  <c:v>91.7</c:v>
                </c:pt>
                <c:pt idx="4">
                  <c:v>95.1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F7F-42F8-9963-F31994197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949568"/>
        <c:axId val="245951104"/>
      </c:barChart>
      <c:catAx>
        <c:axId val="2459495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5951104"/>
        <c:crosses val="autoZero"/>
        <c:auto val="1"/>
        <c:lblAlgn val="ctr"/>
        <c:lblOffset val="100"/>
        <c:noMultiLvlLbl val="0"/>
      </c:catAx>
      <c:valAx>
        <c:axId val="2459511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459495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[09 HR Analytics Dashboard.xlsx]Sheet1!PivotTable10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Bonus Distribution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spPr>
          <a:solidFill>
            <a:schemeClr val="tx2"/>
          </a:solidFill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cat>
            <c:strRef>
              <c:f>Sheet1!$A$134:$A$139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Sheet1!$B$134:$B$139</c:f>
              <c:numCache>
                <c:formatCode>General</c:formatCode>
                <c:ptCount val="5"/>
                <c:pt idx="0">
                  <c:v>74500</c:v>
                </c:pt>
                <c:pt idx="1">
                  <c:v>119000</c:v>
                </c:pt>
                <c:pt idx="2">
                  <c:v>79500</c:v>
                </c:pt>
                <c:pt idx="3">
                  <c:v>129000</c:v>
                </c:pt>
                <c:pt idx="4">
                  <c:v>323000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8C4-4AB7-8D1D-CC7EF10A3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984640"/>
        <c:axId val="245994624"/>
      </c:barChart>
      <c:catAx>
        <c:axId val="245984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5994624"/>
        <c:crosses val="autoZero"/>
        <c:auto val="1"/>
        <c:lblAlgn val="ctr"/>
        <c:lblOffset val="100"/>
        <c:noMultiLvlLbl val="0"/>
      </c:catAx>
      <c:valAx>
        <c:axId val="245994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9846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[09 HR Analytics Dashboard.xlsx]Sheet1!PivotTable11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Monthly Salary Trend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spPr>
          <a:ln>
            <a:solidFill>
              <a:schemeClr val="tx2"/>
            </a:solidFill>
          </a:ln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Sheet1!$J$130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cat>
            <c:strRef>
              <c:f>Sheet1!$I$131:$I$141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Sheet1!$J$131:$J$141</c:f>
              <c:numCache>
                <c:formatCode>General</c:formatCode>
                <c:ptCount val="10"/>
                <c:pt idx="0">
                  <c:v>825000</c:v>
                </c:pt>
                <c:pt idx="1">
                  <c:v>837000</c:v>
                </c:pt>
                <c:pt idx="2">
                  <c:v>849000</c:v>
                </c:pt>
                <c:pt idx="3">
                  <c:v>861000</c:v>
                </c:pt>
                <c:pt idx="4">
                  <c:v>873000</c:v>
                </c:pt>
                <c:pt idx="5">
                  <c:v>885000</c:v>
                </c:pt>
                <c:pt idx="6">
                  <c:v>897000</c:v>
                </c:pt>
                <c:pt idx="7">
                  <c:v>909000</c:v>
                </c:pt>
                <c:pt idx="8">
                  <c:v>921000</c:v>
                </c:pt>
                <c:pt idx="9">
                  <c:v>933000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303-49F9-AD9C-19D5622F2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6015872"/>
        <c:axId val="246017408"/>
      </c:lineChart>
      <c:catAx>
        <c:axId val="246015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6017408"/>
        <c:crosses val="autoZero"/>
        <c:auto val="1"/>
        <c:lblAlgn val="ctr"/>
        <c:lblOffset val="100"/>
        <c:noMultiLvlLbl val="0"/>
      </c:catAx>
      <c:valAx>
        <c:axId val="246017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60158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64</xdr:row>
      <xdr:rowOff>40341</xdr:rowOff>
    </xdr:from>
    <xdr:to>
      <xdr:col>7</xdr:col>
      <xdr:colOff>103094</xdr:colOff>
      <xdr:row>79</xdr:row>
      <xdr:rowOff>85165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573966</xdr:colOff>
      <xdr:row>64</xdr:row>
      <xdr:rowOff>71045</xdr:rowOff>
    </xdr:from>
    <xdr:to>
      <xdr:col>14</xdr:col>
      <xdr:colOff>247202</xdr:colOff>
      <xdr:row>79</xdr:row>
      <xdr:rowOff>63425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110490</xdr:colOff>
      <xdr:row>80</xdr:row>
      <xdr:rowOff>49530</xdr:rowOff>
    </xdr:from>
    <xdr:to>
      <xdr:col>7</xdr:col>
      <xdr:colOff>102870</xdr:colOff>
      <xdr:row>95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762000</xdr:colOff>
      <xdr:row>80</xdr:row>
      <xdr:rowOff>3810</xdr:rowOff>
    </xdr:from>
    <xdr:to>
      <xdr:col>14</xdr:col>
      <xdr:colOff>240478</xdr:colOff>
      <xdr:row>95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133350</xdr:colOff>
      <xdr:row>95</xdr:row>
      <xdr:rowOff>140970</xdr:rowOff>
    </xdr:from>
    <xdr:to>
      <xdr:col>7</xdr:col>
      <xdr:colOff>971550</xdr:colOff>
      <xdr:row>110</xdr:row>
      <xdr:rowOff>140970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603773</xdr:colOff>
      <xdr:row>95</xdr:row>
      <xdr:rowOff>144556</xdr:rowOff>
    </xdr:from>
    <xdr:to>
      <xdr:col>14</xdr:col>
      <xdr:colOff>277009</xdr:colOff>
      <xdr:row>110</xdr:row>
      <xdr:rowOff>144556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167640</xdr:colOff>
      <xdr:row>111</xdr:row>
      <xdr:rowOff>87630</xdr:rowOff>
    </xdr:from>
    <xdr:to>
      <xdr:col>7</xdr:col>
      <xdr:colOff>198120</xdr:colOff>
      <xdr:row>126</xdr:row>
      <xdr:rowOff>87630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959224</xdr:colOff>
      <xdr:row>111</xdr:row>
      <xdr:rowOff>80458</xdr:rowOff>
    </xdr:from>
    <xdr:to>
      <xdr:col>14</xdr:col>
      <xdr:colOff>302782</xdr:colOff>
      <xdr:row>126</xdr:row>
      <xdr:rowOff>80458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156883</xdr:colOff>
      <xdr:row>127</xdr:row>
      <xdr:rowOff>67235</xdr:rowOff>
    </xdr:from>
    <xdr:to>
      <xdr:col>7</xdr:col>
      <xdr:colOff>228600</xdr:colOff>
      <xdr:row>142</xdr:row>
      <xdr:rowOff>121024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954741</xdr:colOff>
      <xdr:row>127</xdr:row>
      <xdr:rowOff>49306</xdr:rowOff>
    </xdr:from>
    <xdr:to>
      <xdr:col>14</xdr:col>
      <xdr:colOff>273423</xdr:colOff>
      <xdr:row>142</xdr:row>
      <xdr:rowOff>103095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TSME" refreshedDate="46215.749259837961" createdVersion="4" refreshedVersion="4" minRefreshableVersion="3" recordCount="60">
  <cacheSource type="worksheet">
    <worksheetSource name="table1"/>
  </cacheSource>
  <cacheFields count="12">
    <cacheField name="Employee ID" numFmtId="0">
      <sharedItems containsSemiMixedTypes="0" containsString="0" containsNumber="1" containsInteger="1" minValue="1001" maxValue="1060"/>
    </cacheField>
    <cacheField name="Month" numFmtId="0">
      <sharedItems count="10">
        <s v="Jan"/>
        <s v="Feb"/>
        <s v="Mar"/>
        <s v="Apr"/>
        <s v="May"/>
        <s v="Jun"/>
        <s v="Jul"/>
        <s v="Aug"/>
        <s v="Sep"/>
        <s v="Oct"/>
      </sharedItems>
    </cacheField>
    <cacheField name="Employee Name" numFmtId="0">
      <sharedItems count="6">
        <s v="Ali"/>
        <s v="Sara"/>
        <s v="Ahmed"/>
        <s v="Hina"/>
        <s v="Usman"/>
        <s v="Fatima"/>
      </sharedItems>
    </cacheField>
    <cacheField name="Department" numFmtId="0">
      <sharedItems count="5">
        <s v="Sales"/>
        <s v="Marketing"/>
        <s v="Finance"/>
        <s v="HR"/>
        <s v="IT"/>
      </sharedItems>
    </cacheField>
    <cacheField name="Designation" numFmtId="0">
      <sharedItems/>
    </cacheField>
    <cacheField name="Gender" numFmtId="0">
      <sharedItems count="2">
        <s v="Male"/>
        <s v="Female"/>
      </sharedItems>
    </cacheField>
    <cacheField name="Salary" numFmtId="166">
      <sharedItems containsSemiMixedTypes="0" containsString="0" containsNumber="1" containsInteger="1" minValue="110000" maxValue="198000"/>
    </cacheField>
    <cacheField name="Attendance %" numFmtId="0">
      <sharedItems containsSemiMixedTypes="0" containsString="0" containsNumber="1" containsInteger="1" minValue="82" maxValue="98"/>
    </cacheField>
    <cacheField name="Overtime Hours" numFmtId="0">
      <sharedItems containsSemiMixedTypes="0" containsString="0" containsNumber="1" containsInteger="1" minValue="3" maxValue="12"/>
    </cacheField>
    <cacheField name="Performance Rating" numFmtId="0">
      <sharedItems containsSemiMixedTypes="0" containsString="0" containsNumber="1" containsInteger="1" minValue="2" maxValue="5"/>
    </cacheField>
    <cacheField name="Bonus" numFmtId="166">
      <sharedItems containsSemiMixedTypes="0" containsString="0" containsNumber="1" containsInteger="1" minValue="7000" maxValue="19800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">
  <r>
    <n v="1001"/>
    <x v="0"/>
    <x v="0"/>
    <x v="0"/>
    <s v="Manager"/>
    <x v="0"/>
    <n v="180000"/>
    <n v="96"/>
    <n v="8"/>
    <n v="5"/>
    <n v="18000"/>
    <s v="Excellent"/>
  </r>
  <r>
    <n v="1002"/>
    <x v="0"/>
    <x v="1"/>
    <x v="1"/>
    <s v="Executive"/>
    <x v="1"/>
    <n v="120000"/>
    <n v="92"/>
    <n v="5"/>
    <n v="4"/>
    <n v="12000"/>
    <s v="Excellent"/>
  </r>
  <r>
    <n v="1003"/>
    <x v="0"/>
    <x v="2"/>
    <x v="2"/>
    <s v="Analyst"/>
    <x v="0"/>
    <n v="140000"/>
    <n v="88"/>
    <n v="7"/>
    <n v="3"/>
    <n v="7000"/>
    <s v="Good"/>
  </r>
  <r>
    <n v="1004"/>
    <x v="0"/>
    <x v="3"/>
    <x v="3"/>
    <s v="Executive"/>
    <x v="1"/>
    <n v="110000"/>
    <n v="95"/>
    <n v="4"/>
    <n v="5"/>
    <n v="11000"/>
    <s v="Excellent"/>
  </r>
  <r>
    <n v="1005"/>
    <x v="0"/>
    <x v="4"/>
    <x v="4"/>
    <s v="Analyst"/>
    <x v="0"/>
    <n v="150000"/>
    <n v="84"/>
    <n v="10"/>
    <n v="2"/>
    <n v="7500"/>
    <s v="Needs Improvement"/>
  </r>
  <r>
    <n v="1006"/>
    <x v="0"/>
    <x v="5"/>
    <x v="0"/>
    <s v="Executive"/>
    <x v="1"/>
    <n v="125000"/>
    <n v="91"/>
    <n v="6"/>
    <n v="4"/>
    <n v="12500"/>
    <s v="Excellent"/>
  </r>
  <r>
    <n v="1007"/>
    <x v="1"/>
    <x v="0"/>
    <x v="0"/>
    <s v="Manager"/>
    <x v="0"/>
    <n v="182000"/>
    <n v="97"/>
    <n v="9"/>
    <n v="5"/>
    <n v="18200"/>
    <s v="Excellent"/>
  </r>
  <r>
    <n v="1008"/>
    <x v="1"/>
    <x v="1"/>
    <x v="1"/>
    <s v="Executive"/>
    <x v="1"/>
    <n v="122000"/>
    <n v="90"/>
    <n v="6"/>
    <n v="4"/>
    <n v="12200"/>
    <s v="Excellent"/>
  </r>
  <r>
    <n v="1009"/>
    <x v="1"/>
    <x v="2"/>
    <x v="2"/>
    <s v="Analyst"/>
    <x v="0"/>
    <n v="142000"/>
    <n v="86"/>
    <n v="8"/>
    <n v="3"/>
    <n v="7100"/>
    <s v="Good"/>
  </r>
  <r>
    <n v="1010"/>
    <x v="1"/>
    <x v="3"/>
    <x v="3"/>
    <s v="Executive"/>
    <x v="1"/>
    <n v="112000"/>
    <n v="96"/>
    <n v="3"/>
    <n v="5"/>
    <n v="11200"/>
    <s v="Excellent"/>
  </r>
  <r>
    <n v="1011"/>
    <x v="1"/>
    <x v="4"/>
    <x v="4"/>
    <s v="Analyst"/>
    <x v="0"/>
    <n v="152000"/>
    <n v="82"/>
    <n v="11"/>
    <n v="2"/>
    <n v="7600"/>
    <s v="Needs Improvement"/>
  </r>
  <r>
    <n v="1012"/>
    <x v="1"/>
    <x v="5"/>
    <x v="0"/>
    <s v="Executive"/>
    <x v="1"/>
    <n v="127000"/>
    <n v="92"/>
    <n v="5"/>
    <n v="4"/>
    <n v="12700"/>
    <s v="Excellent"/>
  </r>
  <r>
    <n v="1013"/>
    <x v="2"/>
    <x v="0"/>
    <x v="0"/>
    <s v="Manager"/>
    <x v="0"/>
    <n v="184000"/>
    <n v="98"/>
    <n v="7"/>
    <n v="5"/>
    <n v="18400"/>
    <s v="Excellent"/>
  </r>
  <r>
    <n v="1014"/>
    <x v="2"/>
    <x v="1"/>
    <x v="1"/>
    <s v="Executive"/>
    <x v="1"/>
    <n v="124000"/>
    <n v="91"/>
    <n v="5"/>
    <n v="4"/>
    <n v="12400"/>
    <s v="Excellent"/>
  </r>
  <r>
    <n v="1015"/>
    <x v="2"/>
    <x v="2"/>
    <x v="2"/>
    <s v="Analyst"/>
    <x v="0"/>
    <n v="144000"/>
    <n v="87"/>
    <n v="8"/>
    <n v="3"/>
    <n v="7200"/>
    <s v="Good"/>
  </r>
  <r>
    <n v="1016"/>
    <x v="2"/>
    <x v="3"/>
    <x v="3"/>
    <s v="Executive"/>
    <x v="1"/>
    <n v="114000"/>
    <n v="97"/>
    <n v="4"/>
    <n v="5"/>
    <n v="11400"/>
    <s v="Excellent"/>
  </r>
  <r>
    <n v="1017"/>
    <x v="2"/>
    <x v="4"/>
    <x v="4"/>
    <s v="Analyst"/>
    <x v="0"/>
    <n v="154000"/>
    <n v="83"/>
    <n v="12"/>
    <n v="2"/>
    <n v="7700"/>
    <s v="Needs Improvement"/>
  </r>
  <r>
    <n v="1018"/>
    <x v="2"/>
    <x v="5"/>
    <x v="0"/>
    <s v="Executive"/>
    <x v="1"/>
    <n v="129000"/>
    <n v="93"/>
    <n v="6"/>
    <n v="4"/>
    <n v="12900"/>
    <s v="Excellent"/>
  </r>
  <r>
    <n v="1019"/>
    <x v="3"/>
    <x v="0"/>
    <x v="0"/>
    <s v="Manager"/>
    <x v="0"/>
    <n v="186000"/>
    <n v="96"/>
    <n v="8"/>
    <n v="5"/>
    <n v="18600"/>
    <s v="Excellent"/>
  </r>
  <r>
    <n v="1020"/>
    <x v="3"/>
    <x v="1"/>
    <x v="1"/>
    <s v="Executive"/>
    <x v="1"/>
    <n v="126000"/>
    <n v="92"/>
    <n v="5"/>
    <n v="4"/>
    <n v="12600"/>
    <s v="Excellent"/>
  </r>
  <r>
    <n v="1021"/>
    <x v="3"/>
    <x v="2"/>
    <x v="2"/>
    <s v="Analyst"/>
    <x v="0"/>
    <n v="146000"/>
    <n v="89"/>
    <n v="7"/>
    <n v="3"/>
    <n v="7300"/>
    <s v="Good"/>
  </r>
  <r>
    <n v="1022"/>
    <x v="3"/>
    <x v="3"/>
    <x v="3"/>
    <s v="Executive"/>
    <x v="1"/>
    <n v="116000"/>
    <n v="95"/>
    <n v="4"/>
    <n v="5"/>
    <n v="11600"/>
    <s v="Excellent"/>
  </r>
  <r>
    <n v="1023"/>
    <x v="3"/>
    <x v="4"/>
    <x v="4"/>
    <s v="Analyst"/>
    <x v="0"/>
    <n v="156000"/>
    <n v="84"/>
    <n v="10"/>
    <n v="2"/>
    <n v="7800"/>
    <s v="Needs Improvement"/>
  </r>
  <r>
    <n v="1024"/>
    <x v="3"/>
    <x v="5"/>
    <x v="0"/>
    <s v="Executive"/>
    <x v="1"/>
    <n v="131000"/>
    <n v="94"/>
    <n v="5"/>
    <n v="4"/>
    <n v="13100"/>
    <s v="Excellent"/>
  </r>
  <r>
    <n v="1025"/>
    <x v="4"/>
    <x v="0"/>
    <x v="0"/>
    <s v="Manager"/>
    <x v="0"/>
    <n v="188000"/>
    <n v="97"/>
    <n v="8"/>
    <n v="5"/>
    <n v="18800"/>
    <s v="Excellent"/>
  </r>
  <r>
    <n v="1026"/>
    <x v="4"/>
    <x v="1"/>
    <x v="1"/>
    <s v="Executive"/>
    <x v="1"/>
    <n v="128000"/>
    <n v="91"/>
    <n v="6"/>
    <n v="4"/>
    <n v="12800"/>
    <s v="Excellent"/>
  </r>
  <r>
    <n v="1027"/>
    <x v="4"/>
    <x v="2"/>
    <x v="2"/>
    <s v="Analyst"/>
    <x v="0"/>
    <n v="148000"/>
    <n v="88"/>
    <n v="7"/>
    <n v="3"/>
    <n v="7400"/>
    <s v="Good"/>
  </r>
  <r>
    <n v="1028"/>
    <x v="4"/>
    <x v="3"/>
    <x v="3"/>
    <s v="Executive"/>
    <x v="1"/>
    <n v="118000"/>
    <n v="96"/>
    <n v="4"/>
    <n v="5"/>
    <n v="11800"/>
    <s v="Excellent"/>
  </r>
  <r>
    <n v="1029"/>
    <x v="4"/>
    <x v="4"/>
    <x v="4"/>
    <s v="Analyst"/>
    <x v="0"/>
    <n v="158000"/>
    <n v="83"/>
    <n v="11"/>
    <n v="2"/>
    <n v="7900"/>
    <s v="Needs Improvement"/>
  </r>
  <r>
    <n v="1030"/>
    <x v="4"/>
    <x v="5"/>
    <x v="0"/>
    <s v="Executive"/>
    <x v="1"/>
    <n v="133000"/>
    <n v="92"/>
    <n v="6"/>
    <n v="4"/>
    <n v="13300"/>
    <s v="Excellent"/>
  </r>
  <r>
    <n v="1031"/>
    <x v="5"/>
    <x v="0"/>
    <x v="0"/>
    <s v="Manager"/>
    <x v="0"/>
    <n v="190000"/>
    <n v="98"/>
    <n v="7"/>
    <n v="5"/>
    <n v="19000"/>
    <s v="Excellent"/>
  </r>
  <r>
    <n v="1032"/>
    <x v="5"/>
    <x v="1"/>
    <x v="1"/>
    <s v="Executive"/>
    <x v="1"/>
    <n v="130000"/>
    <n v="93"/>
    <n v="5"/>
    <n v="4"/>
    <n v="13000"/>
    <s v="Excellent"/>
  </r>
  <r>
    <n v="1033"/>
    <x v="5"/>
    <x v="2"/>
    <x v="2"/>
    <s v="Analyst"/>
    <x v="0"/>
    <n v="150000"/>
    <n v="87"/>
    <n v="8"/>
    <n v="3"/>
    <n v="7500"/>
    <s v="Good"/>
  </r>
  <r>
    <n v="1034"/>
    <x v="5"/>
    <x v="3"/>
    <x v="3"/>
    <s v="Executive"/>
    <x v="1"/>
    <n v="120000"/>
    <n v="97"/>
    <n v="3"/>
    <n v="5"/>
    <n v="12000"/>
    <s v="Excellent"/>
  </r>
  <r>
    <n v="1035"/>
    <x v="5"/>
    <x v="4"/>
    <x v="4"/>
    <s v="Analyst"/>
    <x v="0"/>
    <n v="160000"/>
    <n v="82"/>
    <n v="12"/>
    <n v="2"/>
    <n v="8000"/>
    <s v="Needs Improvement"/>
  </r>
  <r>
    <n v="1036"/>
    <x v="5"/>
    <x v="5"/>
    <x v="0"/>
    <s v="Executive"/>
    <x v="1"/>
    <n v="135000"/>
    <n v="94"/>
    <n v="5"/>
    <n v="4"/>
    <n v="13500"/>
    <s v="Excellent"/>
  </r>
  <r>
    <n v="1037"/>
    <x v="6"/>
    <x v="0"/>
    <x v="0"/>
    <s v="Manager"/>
    <x v="0"/>
    <n v="192000"/>
    <n v="96"/>
    <n v="8"/>
    <n v="5"/>
    <n v="19200"/>
    <s v="Excellent"/>
  </r>
  <r>
    <n v="1038"/>
    <x v="6"/>
    <x v="1"/>
    <x v="1"/>
    <s v="Executive"/>
    <x v="1"/>
    <n v="132000"/>
    <n v="92"/>
    <n v="5"/>
    <n v="4"/>
    <n v="13200"/>
    <s v="Excellent"/>
  </r>
  <r>
    <n v="1039"/>
    <x v="6"/>
    <x v="2"/>
    <x v="2"/>
    <s v="Analyst"/>
    <x v="0"/>
    <n v="152000"/>
    <n v="88"/>
    <n v="8"/>
    <n v="3"/>
    <n v="7600"/>
    <s v="Good"/>
  </r>
  <r>
    <n v="1040"/>
    <x v="6"/>
    <x v="3"/>
    <x v="3"/>
    <s v="Executive"/>
    <x v="1"/>
    <n v="122000"/>
    <n v="95"/>
    <n v="4"/>
    <n v="5"/>
    <n v="12200"/>
    <s v="Excellent"/>
  </r>
  <r>
    <n v="1041"/>
    <x v="6"/>
    <x v="4"/>
    <x v="4"/>
    <s v="Analyst"/>
    <x v="0"/>
    <n v="162000"/>
    <n v="84"/>
    <n v="10"/>
    <n v="2"/>
    <n v="8100"/>
    <s v="Needs Improvement"/>
  </r>
  <r>
    <n v="1042"/>
    <x v="6"/>
    <x v="5"/>
    <x v="0"/>
    <s v="Executive"/>
    <x v="1"/>
    <n v="137000"/>
    <n v="93"/>
    <n v="6"/>
    <n v="4"/>
    <n v="13700"/>
    <s v="Excellent"/>
  </r>
  <r>
    <n v="1043"/>
    <x v="7"/>
    <x v="0"/>
    <x v="0"/>
    <s v="Manager"/>
    <x v="0"/>
    <n v="194000"/>
    <n v="97"/>
    <n v="8"/>
    <n v="5"/>
    <n v="19400"/>
    <s v="Excellent"/>
  </r>
  <r>
    <n v="1044"/>
    <x v="7"/>
    <x v="1"/>
    <x v="1"/>
    <s v="Executive"/>
    <x v="1"/>
    <n v="134000"/>
    <n v="91"/>
    <n v="6"/>
    <n v="4"/>
    <n v="13400"/>
    <s v="Excellent"/>
  </r>
  <r>
    <n v="1045"/>
    <x v="7"/>
    <x v="2"/>
    <x v="2"/>
    <s v="Analyst"/>
    <x v="0"/>
    <n v="154000"/>
    <n v="89"/>
    <n v="7"/>
    <n v="3"/>
    <n v="7700"/>
    <s v="Good"/>
  </r>
  <r>
    <n v="1046"/>
    <x v="7"/>
    <x v="3"/>
    <x v="3"/>
    <s v="Executive"/>
    <x v="1"/>
    <n v="124000"/>
    <n v="96"/>
    <n v="4"/>
    <n v="5"/>
    <n v="12400"/>
    <s v="Excellent"/>
  </r>
  <r>
    <n v="1047"/>
    <x v="7"/>
    <x v="4"/>
    <x v="4"/>
    <s v="Analyst"/>
    <x v="0"/>
    <n v="164000"/>
    <n v="83"/>
    <n v="11"/>
    <n v="2"/>
    <n v="8200"/>
    <s v="Needs Improvement"/>
  </r>
  <r>
    <n v="1048"/>
    <x v="7"/>
    <x v="5"/>
    <x v="0"/>
    <s v="Executive"/>
    <x v="1"/>
    <n v="139000"/>
    <n v="94"/>
    <n v="5"/>
    <n v="4"/>
    <n v="13900"/>
    <s v="Excellent"/>
  </r>
  <r>
    <n v="1049"/>
    <x v="8"/>
    <x v="0"/>
    <x v="0"/>
    <s v="Manager"/>
    <x v="0"/>
    <n v="196000"/>
    <n v="98"/>
    <n v="7"/>
    <n v="5"/>
    <n v="19600"/>
    <s v="Excellent"/>
  </r>
  <r>
    <n v="1050"/>
    <x v="8"/>
    <x v="1"/>
    <x v="1"/>
    <s v="Executive"/>
    <x v="1"/>
    <n v="136000"/>
    <n v="93"/>
    <n v="5"/>
    <n v="4"/>
    <n v="13600"/>
    <s v="Excellent"/>
  </r>
  <r>
    <n v="1051"/>
    <x v="8"/>
    <x v="2"/>
    <x v="2"/>
    <s v="Analyst"/>
    <x v="0"/>
    <n v="156000"/>
    <n v="88"/>
    <n v="8"/>
    <n v="3"/>
    <n v="7800"/>
    <s v="Good"/>
  </r>
  <r>
    <n v="1052"/>
    <x v="8"/>
    <x v="3"/>
    <x v="3"/>
    <s v="Executive"/>
    <x v="1"/>
    <n v="126000"/>
    <n v="97"/>
    <n v="3"/>
    <n v="5"/>
    <n v="12600"/>
    <s v="Excellent"/>
  </r>
  <r>
    <n v="1053"/>
    <x v="8"/>
    <x v="4"/>
    <x v="4"/>
    <s v="Analyst"/>
    <x v="0"/>
    <n v="166000"/>
    <n v="82"/>
    <n v="12"/>
    <n v="2"/>
    <n v="8300"/>
    <s v="Needs Improvement"/>
  </r>
  <r>
    <n v="1054"/>
    <x v="8"/>
    <x v="5"/>
    <x v="0"/>
    <s v="Executive"/>
    <x v="1"/>
    <n v="141000"/>
    <n v="95"/>
    <n v="5"/>
    <n v="4"/>
    <n v="14100"/>
    <s v="Excellent"/>
  </r>
  <r>
    <n v="1055"/>
    <x v="9"/>
    <x v="0"/>
    <x v="0"/>
    <s v="Manager"/>
    <x v="0"/>
    <n v="198000"/>
    <n v="97"/>
    <n v="8"/>
    <n v="5"/>
    <n v="19800"/>
    <s v="Excellent"/>
  </r>
  <r>
    <n v="1056"/>
    <x v="9"/>
    <x v="1"/>
    <x v="1"/>
    <s v="Executive"/>
    <x v="1"/>
    <n v="138000"/>
    <n v="92"/>
    <n v="5"/>
    <n v="4"/>
    <n v="13800"/>
    <s v="Excellent"/>
  </r>
  <r>
    <n v="1057"/>
    <x v="9"/>
    <x v="2"/>
    <x v="2"/>
    <s v="Analyst"/>
    <x v="0"/>
    <n v="158000"/>
    <n v="89"/>
    <n v="7"/>
    <n v="3"/>
    <n v="7900"/>
    <s v="Good"/>
  </r>
  <r>
    <n v="1058"/>
    <x v="9"/>
    <x v="3"/>
    <x v="3"/>
    <s v="Executive"/>
    <x v="1"/>
    <n v="128000"/>
    <n v="96"/>
    <n v="4"/>
    <n v="5"/>
    <n v="12800"/>
    <s v="Excellent"/>
  </r>
  <r>
    <n v="1059"/>
    <x v="9"/>
    <x v="4"/>
    <x v="4"/>
    <s v="Analyst"/>
    <x v="0"/>
    <n v="168000"/>
    <n v="84"/>
    <n v="10"/>
    <n v="2"/>
    <n v="8400"/>
    <s v="Needs Improvement"/>
  </r>
  <r>
    <n v="1060"/>
    <x v="9"/>
    <x v="5"/>
    <x v="0"/>
    <s v="Executive"/>
    <x v="1"/>
    <n v="143000"/>
    <n v="94"/>
    <n v="5"/>
    <n v="4"/>
    <n v="14300"/>
    <s v="Excell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69:B75" firstHeaderRow="1" firstDataRow="1" firstDataCol="1"/>
  <pivotFields count="12">
    <pivotField showAll="0"/>
    <pivotField showAll="0"/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dataField="1" numFmtId="166" showAll="0"/>
    <pivotField showAll="0"/>
    <pivotField showAll="0"/>
    <pivotField showAll="0"/>
    <pivotField numFmtId="166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I86:J92" firstHeaderRow="1" firstDataRow="1" firstDataCol="1"/>
  <pivotFields count="12">
    <pivotField showAll="0"/>
    <pivotField showAll="0"/>
    <pivotField dataField="1" showAll="0">
      <items count="7">
        <item x="2"/>
        <item x="0"/>
        <item x="5"/>
        <item x="3"/>
        <item x="1"/>
        <item x="4"/>
        <item t="default"/>
      </items>
    </pivotField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numFmtId="166" showAll="0"/>
    <pivotField showAll="0"/>
    <pivotField showAll="0"/>
    <pivotField showAll="0"/>
    <pivotField numFmtId="166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 Name" fld="2" subtotal="count" baseField="0" baseItem="0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I100:J112" firstHeaderRow="1" firstDataRow="1" firstDataCol="1"/>
  <pivotFields count="12">
    <pivotField showAll="0"/>
    <pivotField showAll="0"/>
    <pivotField dataField="1" showAll="0">
      <items count="7">
        <item x="2"/>
        <item x="0"/>
        <item x="5"/>
        <item x="3"/>
        <item x="1"/>
        <item x="4"/>
        <item t="default"/>
      </items>
    </pivotField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numFmtId="166" showAll="0"/>
    <pivotField showAll="0"/>
    <pivotField showAll="0"/>
    <pivotField showAll="0"/>
    <pivotField numFmtId="166" showAll="0"/>
    <pivotField showAll="0"/>
  </pivotFields>
  <rowFields count="2">
    <field x="3"/>
    <field x="5"/>
  </rowFields>
  <rowItems count="12">
    <i>
      <x/>
    </i>
    <i r="1">
      <x v="1"/>
    </i>
    <i>
      <x v="1"/>
    </i>
    <i r="1">
      <x/>
    </i>
    <i>
      <x v="2"/>
    </i>
    <i r="1">
      <x v="1"/>
    </i>
    <i>
      <x v="3"/>
    </i>
    <i r="1">
      <x/>
    </i>
    <i>
      <x v="4"/>
    </i>
    <i r="1">
      <x/>
    </i>
    <i r="1">
      <x v="1"/>
    </i>
    <i t="grand">
      <x/>
    </i>
  </rowItems>
  <colItems count="1">
    <i/>
  </colItems>
  <dataFields count="1">
    <dataField name="Count of Employee Name" fld="2" subtotal="count" baseField="0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I116:J122" firstHeaderRow="1" firstDataRow="1" firstDataCol="1"/>
  <pivotFields count="12">
    <pivotField showAll="0"/>
    <pivotField showAll="0"/>
    <pivotField showAll="0">
      <items count="7">
        <item x="2"/>
        <item x="0"/>
        <item x="5"/>
        <item x="3"/>
        <item x="1"/>
        <item x="4"/>
        <item t="default"/>
      </items>
    </pivotField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numFmtId="166" showAll="0"/>
    <pivotField dataField="1" showAll="0"/>
    <pivotField showAll="0"/>
    <pivotField showAll="0"/>
    <pivotField numFmtId="166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Attendance %" fld="7" subtotal="average" baseField="0" baseItem="1" numFmtId="2"/>
  </dataFields>
  <formats count="1">
    <format dxfId="2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86:B92" firstHeaderRow="1" firstDataRow="1" firstDataCol="1"/>
  <pivotFields count="12">
    <pivotField showAll="0"/>
    <pivotField showAll="0"/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numFmtId="166" showAll="0"/>
    <pivotField showAll="0"/>
    <pivotField showAll="0"/>
    <pivotField showAll="0"/>
    <pivotField dataField="1" numFmtId="166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Bonus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00:B106" firstHeaderRow="1" firstDataRow="1" firstDataCol="1"/>
  <pivotFields count="12">
    <pivotField showAll="0"/>
    <pivotField showAll="0"/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numFmtId="166" showAll="0"/>
    <pivotField showAll="0"/>
    <pivotField showAll="0"/>
    <pivotField dataField="1" showAll="0"/>
    <pivotField numFmtId="166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formance Rating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I130:J141" firstHeaderRow="1" firstDataRow="1" firstDataCol="1"/>
  <pivotFields count="12"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dataField="1" numFmtId="166" showAll="0"/>
    <pivotField showAll="0"/>
    <pivotField showAll="0"/>
    <pivotField showAll="0"/>
    <pivotField numFmtId="166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ary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I67:J78" firstHeaderRow="1" firstDataRow="1" firstDataCol="1"/>
  <pivotFields count="12"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7">
        <item x="2"/>
        <item x="0"/>
        <item x="5"/>
        <item x="3"/>
        <item x="1"/>
        <item x="4"/>
        <item t="default"/>
      </items>
    </pivotField>
    <pivotField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numFmtId="166" showAll="0"/>
    <pivotField dataField="1" showAll="0"/>
    <pivotField showAll="0"/>
    <pivotField showAll="0"/>
    <pivotField numFmtId="166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ttendance %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33:B139" firstHeaderRow="1" firstDataRow="1" firstDataCol="1"/>
  <pivotFields count="12">
    <pivotField showAll="0"/>
    <pivotField showAll="0"/>
    <pivotField showAll="0">
      <items count="7">
        <item x="2"/>
        <item x="0"/>
        <item x="5"/>
        <item x="3"/>
        <item x="1"/>
        <item x="4"/>
        <item t="default"/>
      </items>
    </pivotField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numFmtId="166" showAll="0"/>
    <pivotField showAll="0"/>
    <pivotField showAll="0"/>
    <pivotField showAll="0"/>
    <pivotField dataField="1" numFmtId="166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Bonus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16:B123" firstHeaderRow="1" firstDataRow="1" firstDataCol="1"/>
  <pivotFields count="12">
    <pivotField showAll="0"/>
    <pivotField showAll="0"/>
    <pivotField axis="axisRow" showAll="0">
      <items count="7">
        <item x="2"/>
        <item x="0"/>
        <item x="5"/>
        <item x="3"/>
        <item x="1"/>
        <item x="4"/>
        <item t="default"/>
      </items>
    </pivotField>
    <pivotField showAll="0"/>
    <pivotField showAll="0"/>
    <pivotField showAll="0"/>
    <pivotField dataField="1" numFmtId="166" showAll="0"/>
    <pivotField showAll="0"/>
    <pivotField showAll="0"/>
    <pivotField showAll="0"/>
    <pivotField numFmtId="166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ary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3:L64" totalsRowCount="1" headerRowDxfId="27" dataDxfId="26" totalsRowDxfId="25" totalsRowBorderDxfId="24">
  <autoFilter ref="A3:L63"/>
  <tableColumns count="12">
    <tableColumn id="1" name="Employee ID" totalsRowLabel="Total" dataDxfId="23" totalsRowDxfId="22"/>
    <tableColumn id="2" name="Month" dataDxfId="21" totalsRowDxfId="20"/>
    <tableColumn id="3" name="Employee Name" dataDxfId="19" totalsRowDxfId="18"/>
    <tableColumn id="4" name="Department" dataDxfId="17" totalsRowDxfId="16"/>
    <tableColumn id="5" name="Designation" dataDxfId="15" totalsRowDxfId="14"/>
    <tableColumn id="6" name="Gender" dataDxfId="13" totalsRowDxfId="12"/>
    <tableColumn id="7" name="Salary" totalsRowFunction="sum" dataDxfId="11" totalsRowDxfId="10"/>
    <tableColumn id="8" name="Attendance %" dataDxfId="9" totalsRowDxfId="8"/>
    <tableColumn id="9" name="Overtime Hours" dataDxfId="7" totalsRowDxfId="6"/>
    <tableColumn id="10" name="Performance Rating" dataDxfId="5" totalsRowDxfId="4"/>
    <tableColumn id="11" name="Bonus" totalsRowFunction="sum" dataDxfId="3" totalsRowDxfId="2"/>
    <tableColumn id="12" name="Status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3"/>
  <sheetViews>
    <sheetView tabSelected="1" topLeftCell="A67" zoomScale="70" zoomScaleNormal="70" workbookViewId="0">
      <selection activeCell="C5" sqref="C5"/>
    </sheetView>
  </sheetViews>
  <sheetFormatPr defaultRowHeight="14.4" x14ac:dyDescent="0.3"/>
  <cols>
    <col min="1" max="1" width="13.44140625" customWidth="1"/>
    <col min="2" max="2" width="13.21875" customWidth="1"/>
    <col min="3" max="3" width="16.6640625" customWidth="1"/>
    <col min="4" max="4" width="13" customWidth="1"/>
    <col min="5" max="5" width="12.77734375" customWidth="1"/>
    <col min="6" max="6" width="9" customWidth="1"/>
    <col min="7" max="7" width="14.77734375" bestFit="1" customWidth="1"/>
    <col min="8" max="8" width="14.5546875" customWidth="1"/>
    <col min="9" max="9" width="15.6640625" customWidth="1"/>
    <col min="10" max="10" width="26.44140625" customWidth="1"/>
    <col min="11" max="11" width="18.21875" customWidth="1"/>
    <col min="12" max="12" width="17.77734375" bestFit="1" customWidth="1"/>
    <col min="14" max="14" width="31.77734375" bestFit="1" customWidth="1"/>
    <col min="15" max="15" width="20.88671875" bestFit="1" customWidth="1"/>
  </cols>
  <sheetData>
    <row r="1" spans="1:15" ht="23.4" x14ac:dyDescent="0.45">
      <c r="B1" s="1" t="s">
        <v>0</v>
      </c>
      <c r="C1" s="2"/>
      <c r="D1" s="2"/>
    </row>
    <row r="3" spans="1:15" s="6" customFormat="1" ht="18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20" t="s">
        <v>7</v>
      </c>
      <c r="H3" s="5" t="s">
        <v>8</v>
      </c>
      <c r="I3" s="5" t="s">
        <v>9</v>
      </c>
      <c r="J3" s="5" t="s">
        <v>10</v>
      </c>
      <c r="K3" s="20" t="s">
        <v>11</v>
      </c>
      <c r="L3" s="5" t="s">
        <v>12</v>
      </c>
      <c r="N3" s="7" t="s">
        <v>43</v>
      </c>
      <c r="O3" s="16">
        <f>SUM(Table1[Salary])</f>
        <v>8790000</v>
      </c>
    </row>
    <row r="4" spans="1:15" x14ac:dyDescent="0.3">
      <c r="A4" s="3">
        <v>1001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21">
        <v>180000</v>
      </c>
      <c r="H4" s="3">
        <v>96</v>
      </c>
      <c r="I4" s="3">
        <v>8</v>
      </c>
      <c r="J4" s="3">
        <v>5</v>
      </c>
      <c r="K4" s="21">
        <v>18000</v>
      </c>
      <c r="L4" s="4" t="s">
        <v>18</v>
      </c>
      <c r="O4" s="14"/>
    </row>
    <row r="5" spans="1:15" ht="18" x14ac:dyDescent="0.35">
      <c r="A5" s="3">
        <v>1002</v>
      </c>
      <c r="B5" s="4" t="s">
        <v>13</v>
      </c>
      <c r="C5" s="4" t="s">
        <v>19</v>
      </c>
      <c r="D5" s="4" t="s">
        <v>20</v>
      </c>
      <c r="E5" s="4" t="s">
        <v>21</v>
      </c>
      <c r="F5" s="4" t="s">
        <v>22</v>
      </c>
      <c r="G5" s="21">
        <v>120000</v>
      </c>
      <c r="H5" s="3">
        <v>92</v>
      </c>
      <c r="I5" s="3">
        <v>5</v>
      </c>
      <c r="J5" s="3">
        <v>4</v>
      </c>
      <c r="K5" s="21">
        <v>12000</v>
      </c>
      <c r="L5" s="4" t="s">
        <v>18</v>
      </c>
      <c r="N5" s="8" t="s">
        <v>44</v>
      </c>
      <c r="O5" s="15">
        <f>SUM(Table1[Bonus])</f>
        <v>725000</v>
      </c>
    </row>
    <row r="6" spans="1:15" x14ac:dyDescent="0.3">
      <c r="A6" s="3">
        <v>1003</v>
      </c>
      <c r="B6" s="4" t="s">
        <v>13</v>
      </c>
      <c r="C6" s="4" t="s">
        <v>23</v>
      </c>
      <c r="D6" s="4" t="s">
        <v>24</v>
      </c>
      <c r="E6" s="4" t="s">
        <v>25</v>
      </c>
      <c r="F6" s="4" t="s">
        <v>17</v>
      </c>
      <c r="G6" s="21">
        <v>140000</v>
      </c>
      <c r="H6" s="3">
        <v>88</v>
      </c>
      <c r="I6" s="3">
        <v>7</v>
      </c>
      <c r="J6" s="3">
        <v>3</v>
      </c>
      <c r="K6" s="21">
        <v>7000</v>
      </c>
      <c r="L6" s="4" t="s">
        <v>26</v>
      </c>
    </row>
    <row r="7" spans="1:15" ht="18" x14ac:dyDescent="0.35">
      <c r="A7" s="3">
        <v>1004</v>
      </c>
      <c r="B7" s="4" t="s">
        <v>13</v>
      </c>
      <c r="C7" s="4" t="s">
        <v>27</v>
      </c>
      <c r="D7" s="4" t="s">
        <v>28</v>
      </c>
      <c r="E7" s="4" t="s">
        <v>21</v>
      </c>
      <c r="F7" s="4" t="s">
        <v>22</v>
      </c>
      <c r="G7" s="21">
        <v>110000</v>
      </c>
      <c r="H7" s="3">
        <v>95</v>
      </c>
      <c r="I7" s="3">
        <v>4</v>
      </c>
      <c r="J7" s="3">
        <v>5</v>
      </c>
      <c r="K7" s="21">
        <v>11000</v>
      </c>
      <c r="L7" s="4" t="s">
        <v>18</v>
      </c>
      <c r="N7" s="8" t="s">
        <v>53</v>
      </c>
      <c r="O7" s="13">
        <f>AVERAGE(Table1[Attendance %])</f>
        <v>91.483333333333334</v>
      </c>
    </row>
    <row r="8" spans="1:15" x14ac:dyDescent="0.3">
      <c r="A8" s="3">
        <v>1005</v>
      </c>
      <c r="B8" s="4" t="s">
        <v>13</v>
      </c>
      <c r="C8" s="4" t="s">
        <v>29</v>
      </c>
      <c r="D8" s="4" t="s">
        <v>30</v>
      </c>
      <c r="E8" s="4" t="s">
        <v>25</v>
      </c>
      <c r="F8" s="4" t="s">
        <v>17</v>
      </c>
      <c r="G8" s="21">
        <v>150000</v>
      </c>
      <c r="H8" s="3">
        <v>84</v>
      </c>
      <c r="I8" s="3">
        <v>10</v>
      </c>
      <c r="J8" s="3">
        <v>2</v>
      </c>
      <c r="K8" s="21">
        <v>7500</v>
      </c>
      <c r="L8" s="4" t="s">
        <v>31</v>
      </c>
    </row>
    <row r="9" spans="1:15" ht="18" x14ac:dyDescent="0.35">
      <c r="A9" s="3">
        <v>1006</v>
      </c>
      <c r="B9" s="4" t="s">
        <v>13</v>
      </c>
      <c r="C9" s="4" t="s">
        <v>32</v>
      </c>
      <c r="D9" s="4" t="s">
        <v>15</v>
      </c>
      <c r="E9" s="4" t="s">
        <v>21</v>
      </c>
      <c r="F9" s="4" t="s">
        <v>22</v>
      </c>
      <c r="G9" s="21">
        <v>125000</v>
      </c>
      <c r="H9" s="3">
        <v>91</v>
      </c>
      <c r="I9" s="3">
        <v>6</v>
      </c>
      <c r="J9" s="3">
        <v>4</v>
      </c>
      <c r="K9" s="21">
        <v>12500</v>
      </c>
      <c r="L9" s="4" t="s">
        <v>18</v>
      </c>
      <c r="N9" s="8" t="s">
        <v>45</v>
      </c>
      <c r="O9" s="13">
        <f>AVERAGE(Table1[Performance Rating])</f>
        <v>3.8333333333333335</v>
      </c>
    </row>
    <row r="10" spans="1:15" x14ac:dyDescent="0.3">
      <c r="A10" s="3">
        <v>1007</v>
      </c>
      <c r="B10" s="4" t="s">
        <v>33</v>
      </c>
      <c r="C10" s="4" t="s">
        <v>14</v>
      </c>
      <c r="D10" s="4" t="s">
        <v>15</v>
      </c>
      <c r="E10" s="4" t="s">
        <v>16</v>
      </c>
      <c r="F10" s="4" t="s">
        <v>17</v>
      </c>
      <c r="G10" s="21">
        <v>182000</v>
      </c>
      <c r="H10" s="3">
        <v>97</v>
      </c>
      <c r="I10" s="3">
        <v>9</v>
      </c>
      <c r="J10" s="3">
        <v>5</v>
      </c>
      <c r="K10" s="21">
        <v>18200</v>
      </c>
      <c r="L10" s="4" t="s">
        <v>18</v>
      </c>
    </row>
    <row r="11" spans="1:15" ht="18" x14ac:dyDescent="0.35">
      <c r="A11" s="3">
        <v>1008</v>
      </c>
      <c r="B11" s="4" t="s">
        <v>33</v>
      </c>
      <c r="C11" s="4" t="s">
        <v>19</v>
      </c>
      <c r="D11" s="4" t="s">
        <v>20</v>
      </c>
      <c r="E11" s="4" t="s">
        <v>21</v>
      </c>
      <c r="F11" s="4" t="s">
        <v>22</v>
      </c>
      <c r="G11" s="21">
        <v>122000</v>
      </c>
      <c r="H11" s="3">
        <v>90</v>
      </c>
      <c r="I11" s="3">
        <v>6</v>
      </c>
      <c r="J11" s="3">
        <v>4</v>
      </c>
      <c r="K11" s="21">
        <v>12200</v>
      </c>
      <c r="L11" s="4" t="s">
        <v>18</v>
      </c>
      <c r="N11" s="8" t="s">
        <v>46</v>
      </c>
      <c r="O11" s="15">
        <f>MAX(Table1[Salary])</f>
        <v>198000</v>
      </c>
    </row>
    <row r="12" spans="1:15" x14ac:dyDescent="0.3">
      <c r="A12" s="3">
        <v>1009</v>
      </c>
      <c r="B12" s="4" t="s">
        <v>33</v>
      </c>
      <c r="C12" s="4" t="s">
        <v>23</v>
      </c>
      <c r="D12" s="4" t="s">
        <v>24</v>
      </c>
      <c r="E12" s="4" t="s">
        <v>25</v>
      </c>
      <c r="F12" s="4" t="s">
        <v>17</v>
      </c>
      <c r="G12" s="21">
        <v>142000</v>
      </c>
      <c r="H12" s="3">
        <v>86</v>
      </c>
      <c r="I12" s="3">
        <v>8</v>
      </c>
      <c r="J12" s="3">
        <v>3</v>
      </c>
      <c r="K12" s="21">
        <v>7100</v>
      </c>
      <c r="L12" s="4" t="s">
        <v>26</v>
      </c>
      <c r="O12" s="14"/>
    </row>
    <row r="13" spans="1:15" ht="18" x14ac:dyDescent="0.35">
      <c r="A13" s="3">
        <v>1010</v>
      </c>
      <c r="B13" s="4" t="s">
        <v>33</v>
      </c>
      <c r="C13" s="4" t="s">
        <v>27</v>
      </c>
      <c r="D13" s="4" t="s">
        <v>28</v>
      </c>
      <c r="E13" s="4" t="s">
        <v>21</v>
      </c>
      <c r="F13" s="4" t="s">
        <v>22</v>
      </c>
      <c r="G13" s="21">
        <v>112000</v>
      </c>
      <c r="H13" s="3">
        <v>96</v>
      </c>
      <c r="I13" s="3">
        <v>3</v>
      </c>
      <c r="J13" s="3">
        <v>5</v>
      </c>
      <c r="K13" s="21">
        <v>11200</v>
      </c>
      <c r="L13" s="4" t="s">
        <v>18</v>
      </c>
      <c r="N13" s="8" t="s">
        <v>47</v>
      </c>
      <c r="O13" s="15">
        <f>MIN(Table1[Salary])</f>
        <v>110000</v>
      </c>
    </row>
    <row r="14" spans="1:15" x14ac:dyDescent="0.3">
      <c r="A14" s="3">
        <v>1011</v>
      </c>
      <c r="B14" s="4" t="s">
        <v>33</v>
      </c>
      <c r="C14" s="4" t="s">
        <v>29</v>
      </c>
      <c r="D14" s="4" t="s">
        <v>30</v>
      </c>
      <c r="E14" s="4" t="s">
        <v>25</v>
      </c>
      <c r="F14" s="4" t="s">
        <v>17</v>
      </c>
      <c r="G14" s="21">
        <v>152000</v>
      </c>
      <c r="H14" s="3">
        <v>82</v>
      </c>
      <c r="I14" s="3">
        <v>11</v>
      </c>
      <c r="J14" s="3">
        <v>2</v>
      </c>
      <c r="K14" s="21">
        <v>7600</v>
      </c>
      <c r="L14" s="4" t="s">
        <v>31</v>
      </c>
    </row>
    <row r="15" spans="1:15" ht="18" x14ac:dyDescent="0.35">
      <c r="A15" s="3">
        <v>1012</v>
      </c>
      <c r="B15" s="4" t="s">
        <v>33</v>
      </c>
      <c r="C15" s="4" t="s">
        <v>32</v>
      </c>
      <c r="D15" s="4" t="s">
        <v>15</v>
      </c>
      <c r="E15" s="4" t="s">
        <v>21</v>
      </c>
      <c r="F15" s="4" t="s">
        <v>22</v>
      </c>
      <c r="G15" s="21">
        <v>127000</v>
      </c>
      <c r="H15" s="3">
        <v>92</v>
      </c>
      <c r="I15" s="3">
        <v>5</v>
      </c>
      <c r="J15" s="3">
        <v>4</v>
      </c>
      <c r="K15" s="21">
        <v>12700</v>
      </c>
      <c r="L15" s="4" t="s">
        <v>18</v>
      </c>
      <c r="N15" s="8" t="s">
        <v>48</v>
      </c>
      <c r="O15" s="8">
        <f>COUNTA(Table1[Employee ID])</f>
        <v>60</v>
      </c>
    </row>
    <row r="16" spans="1:15" x14ac:dyDescent="0.3">
      <c r="A16" s="3">
        <v>1013</v>
      </c>
      <c r="B16" s="4" t="s">
        <v>34</v>
      </c>
      <c r="C16" s="4" t="s">
        <v>14</v>
      </c>
      <c r="D16" s="4" t="s">
        <v>15</v>
      </c>
      <c r="E16" s="4" t="s">
        <v>16</v>
      </c>
      <c r="F16" s="4" t="s">
        <v>17</v>
      </c>
      <c r="G16" s="21">
        <v>184000</v>
      </c>
      <c r="H16" s="3">
        <v>98</v>
      </c>
      <c r="I16" s="3">
        <v>7</v>
      </c>
      <c r="J16" s="3">
        <v>5</v>
      </c>
      <c r="K16" s="21">
        <v>18400</v>
      </c>
      <c r="L16" s="4" t="s">
        <v>18</v>
      </c>
    </row>
    <row r="17" spans="1:15" ht="18" x14ac:dyDescent="0.35">
      <c r="A17" s="3">
        <v>1014</v>
      </c>
      <c r="B17" s="4" t="s">
        <v>34</v>
      </c>
      <c r="C17" s="4" t="s">
        <v>19</v>
      </c>
      <c r="D17" s="4" t="s">
        <v>20</v>
      </c>
      <c r="E17" s="4" t="s">
        <v>21</v>
      </c>
      <c r="F17" s="4" t="s">
        <v>22</v>
      </c>
      <c r="G17" s="21">
        <v>124000</v>
      </c>
      <c r="H17" s="3">
        <v>91</v>
      </c>
      <c r="I17" s="3">
        <v>5</v>
      </c>
      <c r="J17" s="3">
        <v>4</v>
      </c>
      <c r="K17" s="21">
        <v>12400</v>
      </c>
      <c r="L17" s="4" t="s">
        <v>18</v>
      </c>
      <c r="N17" s="8" t="s">
        <v>51</v>
      </c>
      <c r="O17" s="8">
        <f>COUNTIFS(Table1[Status],"Excellent")</f>
        <v>40</v>
      </c>
    </row>
    <row r="18" spans="1:15" ht="15" thickBot="1" x14ac:dyDescent="0.35">
      <c r="A18" s="3">
        <v>1015</v>
      </c>
      <c r="B18" s="4" t="s">
        <v>34</v>
      </c>
      <c r="C18" s="4" t="s">
        <v>23</v>
      </c>
      <c r="D18" s="4" t="s">
        <v>24</v>
      </c>
      <c r="E18" s="4" t="s">
        <v>25</v>
      </c>
      <c r="F18" s="4" t="s">
        <v>17</v>
      </c>
      <c r="G18" s="21">
        <v>144000</v>
      </c>
      <c r="H18" s="3">
        <v>87</v>
      </c>
      <c r="I18" s="3">
        <v>8</v>
      </c>
      <c r="J18" s="3">
        <v>3</v>
      </c>
      <c r="K18" s="21">
        <v>7200</v>
      </c>
      <c r="L18" s="4" t="s">
        <v>26</v>
      </c>
    </row>
    <row r="19" spans="1:15" x14ac:dyDescent="0.3">
      <c r="A19" s="3">
        <v>1016</v>
      </c>
      <c r="B19" s="4" t="s">
        <v>34</v>
      </c>
      <c r="C19" s="4" t="s">
        <v>27</v>
      </c>
      <c r="D19" s="4" t="s">
        <v>28</v>
      </c>
      <c r="E19" s="4" t="s">
        <v>21</v>
      </c>
      <c r="F19" s="4" t="s">
        <v>22</v>
      </c>
      <c r="G19" s="21">
        <v>114000</v>
      </c>
      <c r="H19" s="3">
        <v>97</v>
      </c>
      <c r="I19" s="3">
        <v>4</v>
      </c>
      <c r="J19" s="3">
        <v>5</v>
      </c>
      <c r="K19" s="21">
        <v>11400</v>
      </c>
      <c r="L19" s="4" t="s">
        <v>18</v>
      </c>
      <c r="N19" s="9" t="s">
        <v>49</v>
      </c>
      <c r="O19" s="10" t="s">
        <v>54</v>
      </c>
    </row>
    <row r="20" spans="1:15" ht="15" thickBot="1" x14ac:dyDescent="0.35">
      <c r="A20" s="3">
        <v>1017</v>
      </c>
      <c r="B20" s="4" t="s">
        <v>34</v>
      </c>
      <c r="C20" s="4" t="s">
        <v>29</v>
      </c>
      <c r="D20" s="4" t="s">
        <v>30</v>
      </c>
      <c r="E20" s="4" t="s">
        <v>25</v>
      </c>
      <c r="F20" s="4" t="s">
        <v>17</v>
      </c>
      <c r="G20" s="21">
        <v>154000</v>
      </c>
      <c r="H20" s="3">
        <v>83</v>
      </c>
      <c r="I20" s="3">
        <v>12</v>
      </c>
      <c r="J20" s="3">
        <v>2</v>
      </c>
      <c r="K20" s="21">
        <v>7700</v>
      </c>
      <c r="L20" s="4" t="s">
        <v>31</v>
      </c>
      <c r="N20" s="11" t="s">
        <v>15</v>
      </c>
      <c r="O20" s="17">
        <f>SUMIFS(Table1[Salary],Table1[Department],N20)</f>
        <v>3230000</v>
      </c>
    </row>
    <row r="21" spans="1:15" ht="15" thickBot="1" x14ac:dyDescent="0.35">
      <c r="A21" s="3">
        <v>1018</v>
      </c>
      <c r="B21" s="4" t="s">
        <v>34</v>
      </c>
      <c r="C21" s="4" t="s">
        <v>32</v>
      </c>
      <c r="D21" s="4" t="s">
        <v>15</v>
      </c>
      <c r="E21" s="4" t="s">
        <v>21</v>
      </c>
      <c r="F21" s="4" t="s">
        <v>22</v>
      </c>
      <c r="G21" s="21">
        <v>129000</v>
      </c>
      <c r="H21" s="3">
        <v>93</v>
      </c>
      <c r="I21" s="3">
        <v>6</v>
      </c>
      <c r="J21" s="3">
        <v>4</v>
      </c>
      <c r="K21" s="21">
        <v>12900</v>
      </c>
      <c r="L21" s="4" t="s">
        <v>18</v>
      </c>
    </row>
    <row r="22" spans="1:15" x14ac:dyDescent="0.3">
      <c r="A22" s="3">
        <v>1019</v>
      </c>
      <c r="B22" s="4" t="s">
        <v>35</v>
      </c>
      <c r="C22" s="4" t="s">
        <v>14</v>
      </c>
      <c r="D22" s="4" t="s">
        <v>15</v>
      </c>
      <c r="E22" s="4" t="s">
        <v>16</v>
      </c>
      <c r="F22" s="4" t="s">
        <v>17</v>
      </c>
      <c r="G22" s="21">
        <v>186000</v>
      </c>
      <c r="H22" s="3">
        <v>96</v>
      </c>
      <c r="I22" s="3">
        <v>8</v>
      </c>
      <c r="J22" s="3">
        <v>5</v>
      </c>
      <c r="K22" s="21">
        <v>18600</v>
      </c>
      <c r="L22" s="4" t="s">
        <v>18</v>
      </c>
      <c r="N22" s="9" t="s">
        <v>50</v>
      </c>
      <c r="O22" s="10" t="s">
        <v>55</v>
      </c>
    </row>
    <row r="23" spans="1:15" ht="15" thickBot="1" x14ac:dyDescent="0.35">
      <c r="A23" s="3">
        <v>1020</v>
      </c>
      <c r="B23" s="4" t="s">
        <v>35</v>
      </c>
      <c r="C23" s="4" t="s">
        <v>19</v>
      </c>
      <c r="D23" s="4" t="s">
        <v>20</v>
      </c>
      <c r="E23" s="4" t="s">
        <v>21</v>
      </c>
      <c r="F23" s="4" t="s">
        <v>22</v>
      </c>
      <c r="G23" s="21">
        <v>126000</v>
      </c>
      <c r="H23" s="3">
        <v>92</v>
      </c>
      <c r="I23" s="3">
        <v>5</v>
      </c>
      <c r="J23" s="3">
        <v>4</v>
      </c>
      <c r="K23" s="21">
        <v>12600</v>
      </c>
      <c r="L23" s="4" t="s">
        <v>18</v>
      </c>
      <c r="N23" s="11" t="s">
        <v>15</v>
      </c>
      <c r="O23" s="12">
        <f>AVERAGEIFS(Table1[Attendance %],Table1[Department],N23)</f>
        <v>95.1</v>
      </c>
    </row>
    <row r="24" spans="1:15" ht="15" thickBot="1" x14ac:dyDescent="0.35">
      <c r="A24" s="3">
        <v>1021</v>
      </c>
      <c r="B24" s="4" t="s">
        <v>35</v>
      </c>
      <c r="C24" s="4" t="s">
        <v>23</v>
      </c>
      <c r="D24" s="4" t="s">
        <v>24</v>
      </c>
      <c r="E24" s="4" t="s">
        <v>25</v>
      </c>
      <c r="F24" s="4" t="s">
        <v>17</v>
      </c>
      <c r="G24" s="21">
        <v>146000</v>
      </c>
      <c r="H24" s="3">
        <v>89</v>
      </c>
      <c r="I24" s="3">
        <v>7</v>
      </c>
      <c r="J24" s="3">
        <v>3</v>
      </c>
      <c r="K24" s="21">
        <v>7300</v>
      </c>
      <c r="L24" s="4" t="s">
        <v>26</v>
      </c>
    </row>
    <row r="25" spans="1:15" x14ac:dyDescent="0.3">
      <c r="A25" s="3">
        <v>1022</v>
      </c>
      <c r="B25" s="4" t="s">
        <v>35</v>
      </c>
      <c r="C25" s="4" t="s">
        <v>27</v>
      </c>
      <c r="D25" s="4" t="s">
        <v>28</v>
      </c>
      <c r="E25" s="4" t="s">
        <v>21</v>
      </c>
      <c r="F25" s="4" t="s">
        <v>22</v>
      </c>
      <c r="G25" s="21">
        <v>116000</v>
      </c>
      <c r="H25" s="3">
        <v>95</v>
      </c>
      <c r="I25" s="3">
        <v>4</v>
      </c>
      <c r="J25" s="3">
        <v>5</v>
      </c>
      <c r="K25" s="21">
        <v>11600</v>
      </c>
      <c r="L25" s="4" t="s">
        <v>18</v>
      </c>
      <c r="N25" s="9" t="s">
        <v>52</v>
      </c>
      <c r="O25" s="10" t="s">
        <v>56</v>
      </c>
    </row>
    <row r="26" spans="1:15" ht="15" thickBot="1" x14ac:dyDescent="0.35">
      <c r="A26" s="3">
        <v>1023</v>
      </c>
      <c r="B26" s="4" t="s">
        <v>35</v>
      </c>
      <c r="C26" s="4" t="s">
        <v>29</v>
      </c>
      <c r="D26" s="4" t="s">
        <v>30</v>
      </c>
      <c r="E26" s="4" t="s">
        <v>25</v>
      </c>
      <c r="F26" s="4" t="s">
        <v>17</v>
      </c>
      <c r="G26" s="21">
        <v>156000</v>
      </c>
      <c r="H26" s="3">
        <v>84</v>
      </c>
      <c r="I26" s="3">
        <v>10</v>
      </c>
      <c r="J26" s="3">
        <v>2</v>
      </c>
      <c r="K26" s="21">
        <v>7800</v>
      </c>
      <c r="L26" s="4" t="s">
        <v>31</v>
      </c>
      <c r="N26" s="11" t="s">
        <v>15</v>
      </c>
      <c r="O26" s="12">
        <f>AVERAGEIFS(Table1[Performance Rating],Table1[Department],N26)</f>
        <v>4.5</v>
      </c>
    </row>
    <row r="27" spans="1:15" x14ac:dyDescent="0.3">
      <c r="A27" s="3">
        <v>1024</v>
      </c>
      <c r="B27" s="4" t="s">
        <v>35</v>
      </c>
      <c r="C27" s="4" t="s">
        <v>32</v>
      </c>
      <c r="D27" s="4" t="s">
        <v>15</v>
      </c>
      <c r="E27" s="4" t="s">
        <v>21</v>
      </c>
      <c r="F27" s="4" t="s">
        <v>22</v>
      </c>
      <c r="G27" s="21">
        <v>131000</v>
      </c>
      <c r="H27" s="3">
        <v>94</v>
      </c>
      <c r="I27" s="3">
        <v>5</v>
      </c>
      <c r="J27" s="3">
        <v>4</v>
      </c>
      <c r="K27" s="21">
        <v>13100</v>
      </c>
      <c r="L27" s="4" t="s">
        <v>18</v>
      </c>
    </row>
    <row r="28" spans="1:15" x14ac:dyDescent="0.3">
      <c r="A28" s="3">
        <v>1025</v>
      </c>
      <c r="B28" s="4" t="s">
        <v>36</v>
      </c>
      <c r="C28" s="4" t="s">
        <v>14</v>
      </c>
      <c r="D28" s="4" t="s">
        <v>15</v>
      </c>
      <c r="E28" s="4" t="s">
        <v>16</v>
      </c>
      <c r="F28" s="4" t="s">
        <v>17</v>
      </c>
      <c r="G28" s="21">
        <v>188000</v>
      </c>
      <c r="H28" s="3">
        <v>97</v>
      </c>
      <c r="I28" s="3">
        <v>8</v>
      </c>
      <c r="J28" s="3">
        <v>5</v>
      </c>
      <c r="K28" s="21">
        <v>18800</v>
      </c>
      <c r="L28" s="4" t="s">
        <v>18</v>
      </c>
    </row>
    <row r="29" spans="1:15" x14ac:dyDescent="0.3">
      <c r="A29" s="3">
        <v>1026</v>
      </c>
      <c r="B29" s="4" t="s">
        <v>36</v>
      </c>
      <c r="C29" s="4" t="s">
        <v>19</v>
      </c>
      <c r="D29" s="4" t="s">
        <v>20</v>
      </c>
      <c r="E29" s="4" t="s">
        <v>21</v>
      </c>
      <c r="F29" s="4" t="s">
        <v>22</v>
      </c>
      <c r="G29" s="21">
        <v>128000</v>
      </c>
      <c r="H29" s="3">
        <v>91</v>
      </c>
      <c r="I29" s="3">
        <v>6</v>
      </c>
      <c r="J29" s="3">
        <v>4</v>
      </c>
      <c r="K29" s="21">
        <v>12800</v>
      </c>
      <c r="L29" s="4" t="s">
        <v>18</v>
      </c>
    </row>
    <row r="30" spans="1:15" x14ac:dyDescent="0.3">
      <c r="A30" s="3">
        <v>1027</v>
      </c>
      <c r="B30" s="4" t="s">
        <v>36</v>
      </c>
      <c r="C30" s="4" t="s">
        <v>23</v>
      </c>
      <c r="D30" s="4" t="s">
        <v>24</v>
      </c>
      <c r="E30" s="4" t="s">
        <v>25</v>
      </c>
      <c r="F30" s="4" t="s">
        <v>17</v>
      </c>
      <c r="G30" s="21">
        <v>148000</v>
      </c>
      <c r="H30" s="3">
        <v>88</v>
      </c>
      <c r="I30" s="3">
        <v>7</v>
      </c>
      <c r="J30" s="3">
        <v>3</v>
      </c>
      <c r="K30" s="21">
        <v>7400</v>
      </c>
      <c r="L30" s="4" t="s">
        <v>26</v>
      </c>
    </row>
    <row r="31" spans="1:15" x14ac:dyDescent="0.3">
      <c r="A31" s="3">
        <v>1028</v>
      </c>
      <c r="B31" s="4" t="s">
        <v>36</v>
      </c>
      <c r="C31" s="4" t="s">
        <v>27</v>
      </c>
      <c r="D31" s="4" t="s">
        <v>28</v>
      </c>
      <c r="E31" s="4" t="s">
        <v>21</v>
      </c>
      <c r="F31" s="4" t="s">
        <v>22</v>
      </c>
      <c r="G31" s="21">
        <v>118000</v>
      </c>
      <c r="H31" s="3">
        <v>96</v>
      </c>
      <c r="I31" s="3">
        <v>4</v>
      </c>
      <c r="J31" s="3">
        <v>5</v>
      </c>
      <c r="K31" s="21">
        <v>11800</v>
      </c>
      <c r="L31" s="4" t="s">
        <v>18</v>
      </c>
    </row>
    <row r="32" spans="1:15" x14ac:dyDescent="0.3">
      <c r="A32" s="3">
        <v>1029</v>
      </c>
      <c r="B32" s="4" t="s">
        <v>36</v>
      </c>
      <c r="C32" s="4" t="s">
        <v>29</v>
      </c>
      <c r="D32" s="4" t="s">
        <v>30</v>
      </c>
      <c r="E32" s="4" t="s">
        <v>25</v>
      </c>
      <c r="F32" s="4" t="s">
        <v>17</v>
      </c>
      <c r="G32" s="21">
        <v>158000</v>
      </c>
      <c r="H32" s="3">
        <v>83</v>
      </c>
      <c r="I32" s="3">
        <v>11</v>
      </c>
      <c r="J32" s="3">
        <v>2</v>
      </c>
      <c r="K32" s="21">
        <v>7900</v>
      </c>
      <c r="L32" s="4" t="s">
        <v>31</v>
      </c>
    </row>
    <row r="33" spans="1:12" x14ac:dyDescent="0.3">
      <c r="A33" s="3">
        <v>1030</v>
      </c>
      <c r="B33" s="4" t="s">
        <v>36</v>
      </c>
      <c r="C33" s="4" t="s">
        <v>32</v>
      </c>
      <c r="D33" s="4" t="s">
        <v>15</v>
      </c>
      <c r="E33" s="4" t="s">
        <v>21</v>
      </c>
      <c r="F33" s="4" t="s">
        <v>22</v>
      </c>
      <c r="G33" s="21">
        <v>133000</v>
      </c>
      <c r="H33" s="3">
        <v>92</v>
      </c>
      <c r="I33" s="3">
        <v>6</v>
      </c>
      <c r="J33" s="3">
        <v>4</v>
      </c>
      <c r="K33" s="21">
        <v>13300</v>
      </c>
      <c r="L33" s="4" t="s">
        <v>18</v>
      </c>
    </row>
    <row r="34" spans="1:12" x14ac:dyDescent="0.3">
      <c r="A34" s="3">
        <v>1031</v>
      </c>
      <c r="B34" s="4" t="s">
        <v>37</v>
      </c>
      <c r="C34" s="4" t="s">
        <v>14</v>
      </c>
      <c r="D34" s="4" t="s">
        <v>15</v>
      </c>
      <c r="E34" s="4" t="s">
        <v>16</v>
      </c>
      <c r="F34" s="4" t="s">
        <v>17</v>
      </c>
      <c r="G34" s="21">
        <v>190000</v>
      </c>
      <c r="H34" s="3">
        <v>98</v>
      </c>
      <c r="I34" s="3">
        <v>7</v>
      </c>
      <c r="J34" s="3">
        <v>5</v>
      </c>
      <c r="K34" s="21">
        <v>19000</v>
      </c>
      <c r="L34" s="4" t="s">
        <v>18</v>
      </c>
    </row>
    <row r="35" spans="1:12" x14ac:dyDescent="0.3">
      <c r="A35" s="3">
        <v>1032</v>
      </c>
      <c r="B35" s="4" t="s">
        <v>37</v>
      </c>
      <c r="C35" s="4" t="s">
        <v>19</v>
      </c>
      <c r="D35" s="4" t="s">
        <v>20</v>
      </c>
      <c r="E35" s="4" t="s">
        <v>21</v>
      </c>
      <c r="F35" s="4" t="s">
        <v>22</v>
      </c>
      <c r="G35" s="21">
        <v>130000</v>
      </c>
      <c r="H35" s="3">
        <v>93</v>
      </c>
      <c r="I35" s="3">
        <v>5</v>
      </c>
      <c r="J35" s="3">
        <v>4</v>
      </c>
      <c r="K35" s="21">
        <v>13000</v>
      </c>
      <c r="L35" s="4" t="s">
        <v>18</v>
      </c>
    </row>
    <row r="36" spans="1:12" x14ac:dyDescent="0.3">
      <c r="A36" s="3">
        <v>1033</v>
      </c>
      <c r="B36" s="4" t="s">
        <v>37</v>
      </c>
      <c r="C36" s="4" t="s">
        <v>23</v>
      </c>
      <c r="D36" s="4" t="s">
        <v>24</v>
      </c>
      <c r="E36" s="4" t="s">
        <v>25</v>
      </c>
      <c r="F36" s="4" t="s">
        <v>17</v>
      </c>
      <c r="G36" s="21">
        <v>150000</v>
      </c>
      <c r="H36" s="3">
        <v>87</v>
      </c>
      <c r="I36" s="3">
        <v>8</v>
      </c>
      <c r="J36" s="3">
        <v>3</v>
      </c>
      <c r="K36" s="21">
        <v>7500</v>
      </c>
      <c r="L36" s="4" t="s">
        <v>26</v>
      </c>
    </row>
    <row r="37" spans="1:12" x14ac:dyDescent="0.3">
      <c r="A37" s="3">
        <v>1034</v>
      </c>
      <c r="B37" s="4" t="s">
        <v>37</v>
      </c>
      <c r="C37" s="4" t="s">
        <v>27</v>
      </c>
      <c r="D37" s="4" t="s">
        <v>28</v>
      </c>
      <c r="E37" s="4" t="s">
        <v>21</v>
      </c>
      <c r="F37" s="4" t="s">
        <v>22</v>
      </c>
      <c r="G37" s="21">
        <v>120000</v>
      </c>
      <c r="H37" s="3">
        <v>97</v>
      </c>
      <c r="I37" s="3">
        <v>3</v>
      </c>
      <c r="J37" s="3">
        <v>5</v>
      </c>
      <c r="K37" s="21">
        <v>12000</v>
      </c>
      <c r="L37" s="4" t="s">
        <v>18</v>
      </c>
    </row>
    <row r="38" spans="1:12" x14ac:dyDescent="0.3">
      <c r="A38" s="3">
        <v>1035</v>
      </c>
      <c r="B38" s="4" t="s">
        <v>37</v>
      </c>
      <c r="C38" s="4" t="s">
        <v>29</v>
      </c>
      <c r="D38" s="4" t="s">
        <v>30</v>
      </c>
      <c r="E38" s="4" t="s">
        <v>25</v>
      </c>
      <c r="F38" s="4" t="s">
        <v>17</v>
      </c>
      <c r="G38" s="21">
        <v>160000</v>
      </c>
      <c r="H38" s="3">
        <v>82</v>
      </c>
      <c r="I38" s="3">
        <v>12</v>
      </c>
      <c r="J38" s="3">
        <v>2</v>
      </c>
      <c r="K38" s="21">
        <v>8000</v>
      </c>
      <c r="L38" s="4" t="s">
        <v>31</v>
      </c>
    </row>
    <row r="39" spans="1:12" x14ac:dyDescent="0.3">
      <c r="A39" s="3">
        <v>1036</v>
      </c>
      <c r="B39" s="4" t="s">
        <v>37</v>
      </c>
      <c r="C39" s="4" t="s">
        <v>32</v>
      </c>
      <c r="D39" s="4" t="s">
        <v>15</v>
      </c>
      <c r="E39" s="4" t="s">
        <v>21</v>
      </c>
      <c r="F39" s="4" t="s">
        <v>22</v>
      </c>
      <c r="G39" s="21">
        <v>135000</v>
      </c>
      <c r="H39" s="3">
        <v>94</v>
      </c>
      <c r="I39" s="3">
        <v>5</v>
      </c>
      <c r="J39" s="3">
        <v>4</v>
      </c>
      <c r="K39" s="21">
        <v>13500</v>
      </c>
      <c r="L39" s="4" t="s">
        <v>18</v>
      </c>
    </row>
    <row r="40" spans="1:12" x14ac:dyDescent="0.3">
      <c r="A40" s="3">
        <v>1037</v>
      </c>
      <c r="B40" s="4" t="s">
        <v>38</v>
      </c>
      <c r="C40" s="4" t="s">
        <v>14</v>
      </c>
      <c r="D40" s="4" t="s">
        <v>15</v>
      </c>
      <c r="E40" s="4" t="s">
        <v>16</v>
      </c>
      <c r="F40" s="4" t="s">
        <v>17</v>
      </c>
      <c r="G40" s="21">
        <v>192000</v>
      </c>
      <c r="H40" s="3">
        <v>96</v>
      </c>
      <c r="I40" s="3">
        <v>8</v>
      </c>
      <c r="J40" s="3">
        <v>5</v>
      </c>
      <c r="K40" s="21">
        <v>19200</v>
      </c>
      <c r="L40" s="4" t="s">
        <v>18</v>
      </c>
    </row>
    <row r="41" spans="1:12" x14ac:dyDescent="0.3">
      <c r="A41" s="3">
        <v>1038</v>
      </c>
      <c r="B41" s="4" t="s">
        <v>38</v>
      </c>
      <c r="C41" s="4" t="s">
        <v>19</v>
      </c>
      <c r="D41" s="4" t="s">
        <v>20</v>
      </c>
      <c r="E41" s="4" t="s">
        <v>21</v>
      </c>
      <c r="F41" s="4" t="s">
        <v>22</v>
      </c>
      <c r="G41" s="21">
        <v>132000</v>
      </c>
      <c r="H41" s="3">
        <v>92</v>
      </c>
      <c r="I41" s="3">
        <v>5</v>
      </c>
      <c r="J41" s="3">
        <v>4</v>
      </c>
      <c r="K41" s="21">
        <v>13200</v>
      </c>
      <c r="L41" s="4" t="s">
        <v>18</v>
      </c>
    </row>
    <row r="42" spans="1:12" x14ac:dyDescent="0.3">
      <c r="A42" s="3">
        <v>1039</v>
      </c>
      <c r="B42" s="4" t="s">
        <v>38</v>
      </c>
      <c r="C42" s="4" t="s">
        <v>23</v>
      </c>
      <c r="D42" s="4" t="s">
        <v>24</v>
      </c>
      <c r="E42" s="4" t="s">
        <v>25</v>
      </c>
      <c r="F42" s="4" t="s">
        <v>17</v>
      </c>
      <c r="G42" s="21">
        <v>152000</v>
      </c>
      <c r="H42" s="3">
        <v>88</v>
      </c>
      <c r="I42" s="3">
        <v>8</v>
      </c>
      <c r="J42" s="3">
        <v>3</v>
      </c>
      <c r="K42" s="21">
        <v>7600</v>
      </c>
      <c r="L42" s="4" t="s">
        <v>26</v>
      </c>
    </row>
    <row r="43" spans="1:12" x14ac:dyDescent="0.3">
      <c r="A43" s="3">
        <v>1040</v>
      </c>
      <c r="B43" s="4" t="s">
        <v>38</v>
      </c>
      <c r="C43" s="4" t="s">
        <v>27</v>
      </c>
      <c r="D43" s="4" t="s">
        <v>28</v>
      </c>
      <c r="E43" s="4" t="s">
        <v>21</v>
      </c>
      <c r="F43" s="4" t="s">
        <v>22</v>
      </c>
      <c r="G43" s="21">
        <v>122000</v>
      </c>
      <c r="H43" s="3">
        <v>95</v>
      </c>
      <c r="I43" s="3">
        <v>4</v>
      </c>
      <c r="J43" s="3">
        <v>5</v>
      </c>
      <c r="K43" s="21">
        <v>12200</v>
      </c>
      <c r="L43" s="4" t="s">
        <v>18</v>
      </c>
    </row>
    <row r="44" spans="1:12" x14ac:dyDescent="0.3">
      <c r="A44" s="3">
        <v>1041</v>
      </c>
      <c r="B44" s="4" t="s">
        <v>38</v>
      </c>
      <c r="C44" s="4" t="s">
        <v>29</v>
      </c>
      <c r="D44" s="4" t="s">
        <v>30</v>
      </c>
      <c r="E44" s="4" t="s">
        <v>25</v>
      </c>
      <c r="F44" s="4" t="s">
        <v>17</v>
      </c>
      <c r="G44" s="21">
        <v>162000</v>
      </c>
      <c r="H44" s="3">
        <v>84</v>
      </c>
      <c r="I44" s="3">
        <v>10</v>
      </c>
      <c r="J44" s="3">
        <v>2</v>
      </c>
      <c r="K44" s="21">
        <v>8100</v>
      </c>
      <c r="L44" s="4" t="s">
        <v>31</v>
      </c>
    </row>
    <row r="45" spans="1:12" x14ac:dyDescent="0.3">
      <c r="A45" s="3">
        <v>1042</v>
      </c>
      <c r="B45" s="4" t="s">
        <v>38</v>
      </c>
      <c r="C45" s="4" t="s">
        <v>32</v>
      </c>
      <c r="D45" s="4" t="s">
        <v>15</v>
      </c>
      <c r="E45" s="4" t="s">
        <v>21</v>
      </c>
      <c r="F45" s="4" t="s">
        <v>22</v>
      </c>
      <c r="G45" s="21">
        <v>137000</v>
      </c>
      <c r="H45" s="3">
        <v>93</v>
      </c>
      <c r="I45" s="3">
        <v>6</v>
      </c>
      <c r="J45" s="3">
        <v>4</v>
      </c>
      <c r="K45" s="21">
        <v>13700</v>
      </c>
      <c r="L45" s="4" t="s">
        <v>18</v>
      </c>
    </row>
    <row r="46" spans="1:12" x14ac:dyDescent="0.3">
      <c r="A46" s="3">
        <v>1043</v>
      </c>
      <c r="B46" s="4" t="s">
        <v>39</v>
      </c>
      <c r="C46" s="4" t="s">
        <v>14</v>
      </c>
      <c r="D46" s="4" t="s">
        <v>15</v>
      </c>
      <c r="E46" s="4" t="s">
        <v>16</v>
      </c>
      <c r="F46" s="4" t="s">
        <v>17</v>
      </c>
      <c r="G46" s="21">
        <v>194000</v>
      </c>
      <c r="H46" s="3">
        <v>97</v>
      </c>
      <c r="I46" s="3">
        <v>8</v>
      </c>
      <c r="J46" s="3">
        <v>5</v>
      </c>
      <c r="K46" s="21">
        <v>19400</v>
      </c>
      <c r="L46" s="4" t="s">
        <v>18</v>
      </c>
    </row>
    <row r="47" spans="1:12" x14ac:dyDescent="0.3">
      <c r="A47" s="3">
        <v>1044</v>
      </c>
      <c r="B47" s="4" t="s">
        <v>39</v>
      </c>
      <c r="C47" s="4" t="s">
        <v>19</v>
      </c>
      <c r="D47" s="4" t="s">
        <v>20</v>
      </c>
      <c r="E47" s="4" t="s">
        <v>21</v>
      </c>
      <c r="F47" s="4" t="s">
        <v>22</v>
      </c>
      <c r="G47" s="21">
        <v>134000</v>
      </c>
      <c r="H47" s="3">
        <v>91</v>
      </c>
      <c r="I47" s="3">
        <v>6</v>
      </c>
      <c r="J47" s="3">
        <v>4</v>
      </c>
      <c r="K47" s="21">
        <v>13400</v>
      </c>
      <c r="L47" s="4" t="s">
        <v>18</v>
      </c>
    </row>
    <row r="48" spans="1:12" x14ac:dyDescent="0.3">
      <c r="A48" s="3">
        <v>1045</v>
      </c>
      <c r="B48" s="4" t="s">
        <v>39</v>
      </c>
      <c r="C48" s="4" t="s">
        <v>23</v>
      </c>
      <c r="D48" s="4" t="s">
        <v>24</v>
      </c>
      <c r="E48" s="4" t="s">
        <v>25</v>
      </c>
      <c r="F48" s="4" t="s">
        <v>17</v>
      </c>
      <c r="G48" s="21">
        <v>154000</v>
      </c>
      <c r="H48" s="3">
        <v>89</v>
      </c>
      <c r="I48" s="3">
        <v>7</v>
      </c>
      <c r="J48" s="3">
        <v>3</v>
      </c>
      <c r="K48" s="21">
        <v>7700</v>
      </c>
      <c r="L48" s="4" t="s">
        <v>26</v>
      </c>
    </row>
    <row r="49" spans="1:12" x14ac:dyDescent="0.3">
      <c r="A49" s="3">
        <v>1046</v>
      </c>
      <c r="B49" s="4" t="s">
        <v>39</v>
      </c>
      <c r="C49" s="4" t="s">
        <v>27</v>
      </c>
      <c r="D49" s="4" t="s">
        <v>28</v>
      </c>
      <c r="E49" s="4" t="s">
        <v>21</v>
      </c>
      <c r="F49" s="4" t="s">
        <v>22</v>
      </c>
      <c r="G49" s="21">
        <v>124000</v>
      </c>
      <c r="H49" s="3">
        <v>96</v>
      </c>
      <c r="I49" s="3">
        <v>4</v>
      </c>
      <c r="J49" s="3">
        <v>5</v>
      </c>
      <c r="K49" s="21">
        <v>12400</v>
      </c>
      <c r="L49" s="4" t="s">
        <v>18</v>
      </c>
    </row>
    <row r="50" spans="1:12" x14ac:dyDescent="0.3">
      <c r="A50" s="3">
        <v>1047</v>
      </c>
      <c r="B50" s="4" t="s">
        <v>39</v>
      </c>
      <c r="C50" s="4" t="s">
        <v>29</v>
      </c>
      <c r="D50" s="4" t="s">
        <v>30</v>
      </c>
      <c r="E50" s="4" t="s">
        <v>25</v>
      </c>
      <c r="F50" s="4" t="s">
        <v>17</v>
      </c>
      <c r="G50" s="21">
        <v>164000</v>
      </c>
      <c r="H50" s="3">
        <v>83</v>
      </c>
      <c r="I50" s="3">
        <v>11</v>
      </c>
      <c r="J50" s="3">
        <v>2</v>
      </c>
      <c r="K50" s="21">
        <v>8200</v>
      </c>
      <c r="L50" s="4" t="s">
        <v>31</v>
      </c>
    </row>
    <row r="51" spans="1:12" x14ac:dyDescent="0.3">
      <c r="A51" s="3">
        <v>1048</v>
      </c>
      <c r="B51" s="4" t="s">
        <v>39</v>
      </c>
      <c r="C51" s="4" t="s">
        <v>32</v>
      </c>
      <c r="D51" s="4" t="s">
        <v>15</v>
      </c>
      <c r="E51" s="4" t="s">
        <v>21</v>
      </c>
      <c r="F51" s="4" t="s">
        <v>22</v>
      </c>
      <c r="G51" s="21">
        <v>139000</v>
      </c>
      <c r="H51" s="3">
        <v>94</v>
      </c>
      <c r="I51" s="3">
        <v>5</v>
      </c>
      <c r="J51" s="3">
        <v>4</v>
      </c>
      <c r="K51" s="21">
        <v>13900</v>
      </c>
      <c r="L51" s="4" t="s">
        <v>18</v>
      </c>
    </row>
    <row r="52" spans="1:12" x14ac:dyDescent="0.3">
      <c r="A52" s="3">
        <v>1049</v>
      </c>
      <c r="B52" s="4" t="s">
        <v>40</v>
      </c>
      <c r="C52" s="4" t="s">
        <v>14</v>
      </c>
      <c r="D52" s="4" t="s">
        <v>15</v>
      </c>
      <c r="E52" s="4" t="s">
        <v>16</v>
      </c>
      <c r="F52" s="4" t="s">
        <v>17</v>
      </c>
      <c r="G52" s="21">
        <v>196000</v>
      </c>
      <c r="H52" s="3">
        <v>98</v>
      </c>
      <c r="I52" s="3">
        <v>7</v>
      </c>
      <c r="J52" s="3">
        <v>5</v>
      </c>
      <c r="K52" s="21">
        <v>19600</v>
      </c>
      <c r="L52" s="4" t="s">
        <v>18</v>
      </c>
    </row>
    <row r="53" spans="1:12" x14ac:dyDescent="0.3">
      <c r="A53" s="3">
        <v>1050</v>
      </c>
      <c r="B53" s="4" t="s">
        <v>40</v>
      </c>
      <c r="C53" s="4" t="s">
        <v>19</v>
      </c>
      <c r="D53" s="4" t="s">
        <v>20</v>
      </c>
      <c r="E53" s="4" t="s">
        <v>21</v>
      </c>
      <c r="F53" s="4" t="s">
        <v>22</v>
      </c>
      <c r="G53" s="21">
        <v>136000</v>
      </c>
      <c r="H53" s="3">
        <v>93</v>
      </c>
      <c r="I53" s="3">
        <v>5</v>
      </c>
      <c r="J53" s="3">
        <v>4</v>
      </c>
      <c r="K53" s="21">
        <v>13600</v>
      </c>
      <c r="L53" s="4" t="s">
        <v>18</v>
      </c>
    </row>
    <row r="54" spans="1:12" x14ac:dyDescent="0.3">
      <c r="A54" s="3">
        <v>1051</v>
      </c>
      <c r="B54" s="4" t="s">
        <v>40</v>
      </c>
      <c r="C54" s="4" t="s">
        <v>23</v>
      </c>
      <c r="D54" s="4" t="s">
        <v>24</v>
      </c>
      <c r="E54" s="4" t="s">
        <v>25</v>
      </c>
      <c r="F54" s="4" t="s">
        <v>17</v>
      </c>
      <c r="G54" s="21">
        <v>156000</v>
      </c>
      <c r="H54" s="3">
        <v>88</v>
      </c>
      <c r="I54" s="3">
        <v>8</v>
      </c>
      <c r="J54" s="3">
        <v>3</v>
      </c>
      <c r="K54" s="21">
        <v>7800</v>
      </c>
      <c r="L54" s="4" t="s">
        <v>26</v>
      </c>
    </row>
    <row r="55" spans="1:12" x14ac:dyDescent="0.3">
      <c r="A55" s="3">
        <v>1052</v>
      </c>
      <c r="B55" s="4" t="s">
        <v>40</v>
      </c>
      <c r="C55" s="4" t="s">
        <v>27</v>
      </c>
      <c r="D55" s="4" t="s">
        <v>28</v>
      </c>
      <c r="E55" s="4" t="s">
        <v>21</v>
      </c>
      <c r="F55" s="4" t="s">
        <v>22</v>
      </c>
      <c r="G55" s="21">
        <v>126000</v>
      </c>
      <c r="H55" s="3">
        <v>97</v>
      </c>
      <c r="I55" s="3">
        <v>3</v>
      </c>
      <c r="J55" s="3">
        <v>5</v>
      </c>
      <c r="K55" s="21">
        <v>12600</v>
      </c>
      <c r="L55" s="4" t="s">
        <v>18</v>
      </c>
    </row>
    <row r="56" spans="1:12" x14ac:dyDescent="0.3">
      <c r="A56" s="3">
        <v>1053</v>
      </c>
      <c r="B56" s="4" t="s">
        <v>40</v>
      </c>
      <c r="C56" s="4" t="s">
        <v>29</v>
      </c>
      <c r="D56" s="4" t="s">
        <v>30</v>
      </c>
      <c r="E56" s="4" t="s">
        <v>25</v>
      </c>
      <c r="F56" s="4" t="s">
        <v>17</v>
      </c>
      <c r="G56" s="21">
        <v>166000</v>
      </c>
      <c r="H56" s="3">
        <v>82</v>
      </c>
      <c r="I56" s="3">
        <v>12</v>
      </c>
      <c r="J56" s="3">
        <v>2</v>
      </c>
      <c r="K56" s="21">
        <v>8300</v>
      </c>
      <c r="L56" s="4" t="s">
        <v>31</v>
      </c>
    </row>
    <row r="57" spans="1:12" x14ac:dyDescent="0.3">
      <c r="A57" s="3">
        <v>1054</v>
      </c>
      <c r="B57" s="4" t="s">
        <v>40</v>
      </c>
      <c r="C57" s="4" t="s">
        <v>32</v>
      </c>
      <c r="D57" s="4" t="s">
        <v>15</v>
      </c>
      <c r="E57" s="4" t="s">
        <v>21</v>
      </c>
      <c r="F57" s="4" t="s">
        <v>22</v>
      </c>
      <c r="G57" s="21">
        <v>141000</v>
      </c>
      <c r="H57" s="3">
        <v>95</v>
      </c>
      <c r="I57" s="3">
        <v>5</v>
      </c>
      <c r="J57" s="3">
        <v>4</v>
      </c>
      <c r="K57" s="21">
        <v>14100</v>
      </c>
      <c r="L57" s="4" t="s">
        <v>18</v>
      </c>
    </row>
    <row r="58" spans="1:12" x14ac:dyDescent="0.3">
      <c r="A58" s="3">
        <v>1055</v>
      </c>
      <c r="B58" s="4" t="s">
        <v>41</v>
      </c>
      <c r="C58" s="4" t="s">
        <v>14</v>
      </c>
      <c r="D58" s="4" t="s">
        <v>15</v>
      </c>
      <c r="E58" s="4" t="s">
        <v>16</v>
      </c>
      <c r="F58" s="4" t="s">
        <v>17</v>
      </c>
      <c r="G58" s="21">
        <v>198000</v>
      </c>
      <c r="H58" s="3">
        <v>97</v>
      </c>
      <c r="I58" s="3">
        <v>8</v>
      </c>
      <c r="J58" s="3">
        <v>5</v>
      </c>
      <c r="K58" s="21">
        <v>19800</v>
      </c>
      <c r="L58" s="4" t="s">
        <v>18</v>
      </c>
    </row>
    <row r="59" spans="1:12" x14ac:dyDescent="0.3">
      <c r="A59" s="3">
        <v>1056</v>
      </c>
      <c r="B59" s="4" t="s">
        <v>41</v>
      </c>
      <c r="C59" s="4" t="s">
        <v>19</v>
      </c>
      <c r="D59" s="4" t="s">
        <v>20</v>
      </c>
      <c r="E59" s="4" t="s">
        <v>21</v>
      </c>
      <c r="F59" s="4" t="s">
        <v>22</v>
      </c>
      <c r="G59" s="21">
        <v>138000</v>
      </c>
      <c r="H59" s="3">
        <v>92</v>
      </c>
      <c r="I59" s="3">
        <v>5</v>
      </c>
      <c r="J59" s="3">
        <v>4</v>
      </c>
      <c r="K59" s="21">
        <v>13800</v>
      </c>
      <c r="L59" s="4" t="s">
        <v>18</v>
      </c>
    </row>
    <row r="60" spans="1:12" x14ac:dyDescent="0.3">
      <c r="A60" s="3">
        <v>1057</v>
      </c>
      <c r="B60" s="4" t="s">
        <v>41</v>
      </c>
      <c r="C60" s="4" t="s">
        <v>23</v>
      </c>
      <c r="D60" s="4" t="s">
        <v>24</v>
      </c>
      <c r="E60" s="4" t="s">
        <v>25</v>
      </c>
      <c r="F60" s="4" t="s">
        <v>17</v>
      </c>
      <c r="G60" s="21">
        <v>158000</v>
      </c>
      <c r="H60" s="3">
        <v>89</v>
      </c>
      <c r="I60" s="3">
        <v>7</v>
      </c>
      <c r="J60" s="3">
        <v>3</v>
      </c>
      <c r="K60" s="21">
        <v>7900</v>
      </c>
      <c r="L60" s="4" t="s">
        <v>26</v>
      </c>
    </row>
    <row r="61" spans="1:12" x14ac:dyDescent="0.3">
      <c r="A61" s="3">
        <v>1058</v>
      </c>
      <c r="B61" s="4" t="s">
        <v>41</v>
      </c>
      <c r="C61" s="4" t="s">
        <v>27</v>
      </c>
      <c r="D61" s="4" t="s">
        <v>28</v>
      </c>
      <c r="E61" s="4" t="s">
        <v>21</v>
      </c>
      <c r="F61" s="4" t="s">
        <v>22</v>
      </c>
      <c r="G61" s="21">
        <v>128000</v>
      </c>
      <c r="H61" s="3">
        <v>96</v>
      </c>
      <c r="I61" s="3">
        <v>4</v>
      </c>
      <c r="J61" s="3">
        <v>5</v>
      </c>
      <c r="K61" s="21">
        <v>12800</v>
      </c>
      <c r="L61" s="4" t="s">
        <v>18</v>
      </c>
    </row>
    <row r="62" spans="1:12" x14ac:dyDescent="0.3">
      <c r="A62" s="3">
        <v>1059</v>
      </c>
      <c r="B62" s="4" t="s">
        <v>41</v>
      </c>
      <c r="C62" s="4" t="s">
        <v>29</v>
      </c>
      <c r="D62" s="4" t="s">
        <v>30</v>
      </c>
      <c r="E62" s="4" t="s">
        <v>25</v>
      </c>
      <c r="F62" s="4" t="s">
        <v>17</v>
      </c>
      <c r="G62" s="21">
        <v>168000</v>
      </c>
      <c r="H62" s="3">
        <v>84</v>
      </c>
      <c r="I62" s="3">
        <v>10</v>
      </c>
      <c r="J62" s="3">
        <v>2</v>
      </c>
      <c r="K62" s="21">
        <v>8400</v>
      </c>
      <c r="L62" s="4" t="s">
        <v>31</v>
      </c>
    </row>
    <row r="63" spans="1:12" x14ac:dyDescent="0.3">
      <c r="A63" s="3">
        <v>1060</v>
      </c>
      <c r="B63" s="4" t="s">
        <v>41</v>
      </c>
      <c r="C63" s="4" t="s">
        <v>32</v>
      </c>
      <c r="D63" s="4" t="s">
        <v>15</v>
      </c>
      <c r="E63" s="4" t="s">
        <v>21</v>
      </c>
      <c r="F63" s="4" t="s">
        <v>22</v>
      </c>
      <c r="G63" s="21">
        <v>143000</v>
      </c>
      <c r="H63" s="3">
        <v>94</v>
      </c>
      <c r="I63" s="3">
        <v>5</v>
      </c>
      <c r="J63" s="3">
        <v>4</v>
      </c>
      <c r="K63" s="21">
        <v>14300</v>
      </c>
      <c r="L63" s="4" t="s">
        <v>18</v>
      </c>
    </row>
    <row r="64" spans="1:12" ht="15" thickBot="1" x14ac:dyDescent="0.35">
      <c r="A64" s="18" t="s">
        <v>42</v>
      </c>
      <c r="B64" s="19"/>
      <c r="C64" s="19"/>
      <c r="D64" s="19"/>
      <c r="E64" s="19"/>
      <c r="F64" s="19"/>
      <c r="G64" s="22">
        <f>SUBTOTAL(109,Table1[Salary])</f>
        <v>8790000</v>
      </c>
      <c r="H64" s="18"/>
      <c r="I64" s="18"/>
      <c r="J64" s="18"/>
      <c r="K64" s="22">
        <f>SUBTOTAL(109,Table1[Bonus])</f>
        <v>725000</v>
      </c>
      <c r="L64" s="19"/>
    </row>
    <row r="65" spans="1:10" ht="15" thickTop="1" x14ac:dyDescent="0.3"/>
    <row r="67" spans="1:10" x14ac:dyDescent="0.3">
      <c r="I67" s="23" t="s">
        <v>57</v>
      </c>
      <c r="J67" t="s">
        <v>60</v>
      </c>
    </row>
    <row r="68" spans="1:10" x14ac:dyDescent="0.3">
      <c r="I68" s="6" t="s">
        <v>13</v>
      </c>
      <c r="J68">
        <v>546</v>
      </c>
    </row>
    <row r="69" spans="1:10" x14ac:dyDescent="0.3">
      <c r="A69" s="23" t="s">
        <v>57</v>
      </c>
      <c r="B69" t="s">
        <v>59</v>
      </c>
      <c r="I69" s="6" t="s">
        <v>33</v>
      </c>
      <c r="J69">
        <v>543</v>
      </c>
    </row>
    <row r="70" spans="1:10" x14ac:dyDescent="0.3">
      <c r="A70" s="6" t="s">
        <v>24</v>
      </c>
      <c r="B70">
        <v>1490000</v>
      </c>
      <c r="I70" s="6" t="s">
        <v>34</v>
      </c>
      <c r="J70">
        <v>549</v>
      </c>
    </row>
    <row r="71" spans="1:10" x14ac:dyDescent="0.3">
      <c r="A71" s="6" t="s">
        <v>28</v>
      </c>
      <c r="B71">
        <v>1190000</v>
      </c>
      <c r="I71" s="6" t="s">
        <v>35</v>
      </c>
      <c r="J71">
        <v>550</v>
      </c>
    </row>
    <row r="72" spans="1:10" x14ac:dyDescent="0.3">
      <c r="A72" s="6" t="s">
        <v>30</v>
      </c>
      <c r="B72">
        <v>1590000</v>
      </c>
      <c r="I72" s="6" t="s">
        <v>36</v>
      </c>
      <c r="J72">
        <v>547</v>
      </c>
    </row>
    <row r="73" spans="1:10" x14ac:dyDescent="0.3">
      <c r="A73" s="6" t="s">
        <v>20</v>
      </c>
      <c r="B73">
        <v>1290000</v>
      </c>
      <c r="I73" s="6" t="s">
        <v>37</v>
      </c>
      <c r="J73">
        <v>551</v>
      </c>
    </row>
    <row r="74" spans="1:10" x14ac:dyDescent="0.3">
      <c r="A74" s="6" t="s">
        <v>15</v>
      </c>
      <c r="B74">
        <v>3230000</v>
      </c>
      <c r="I74" s="6" t="s">
        <v>38</v>
      </c>
      <c r="J74">
        <v>548</v>
      </c>
    </row>
    <row r="75" spans="1:10" x14ac:dyDescent="0.3">
      <c r="A75" s="6" t="s">
        <v>58</v>
      </c>
      <c r="B75">
        <v>8790000</v>
      </c>
      <c r="I75" s="6" t="s">
        <v>39</v>
      </c>
      <c r="J75">
        <v>550</v>
      </c>
    </row>
    <row r="76" spans="1:10" x14ac:dyDescent="0.3">
      <c r="I76" s="6" t="s">
        <v>40</v>
      </c>
      <c r="J76">
        <v>553</v>
      </c>
    </row>
    <row r="77" spans="1:10" x14ac:dyDescent="0.3">
      <c r="I77" s="6" t="s">
        <v>41</v>
      </c>
      <c r="J77">
        <v>552</v>
      </c>
    </row>
    <row r="78" spans="1:10" x14ac:dyDescent="0.3">
      <c r="I78" s="6" t="s">
        <v>58</v>
      </c>
      <c r="J78">
        <v>5489</v>
      </c>
    </row>
    <row r="86" spans="1:10" x14ac:dyDescent="0.3">
      <c r="A86" s="23" t="s">
        <v>57</v>
      </c>
      <c r="B86" t="s">
        <v>61</v>
      </c>
      <c r="I86" s="23" t="s">
        <v>57</v>
      </c>
      <c r="J86" t="s">
        <v>62</v>
      </c>
    </row>
    <row r="87" spans="1:10" x14ac:dyDescent="0.3">
      <c r="A87" s="6" t="s">
        <v>24</v>
      </c>
      <c r="B87">
        <v>74500</v>
      </c>
      <c r="I87" s="6" t="s">
        <v>24</v>
      </c>
      <c r="J87">
        <v>10</v>
      </c>
    </row>
    <row r="88" spans="1:10" x14ac:dyDescent="0.3">
      <c r="A88" s="6" t="s">
        <v>28</v>
      </c>
      <c r="B88">
        <v>119000</v>
      </c>
      <c r="I88" s="6" t="s">
        <v>28</v>
      </c>
      <c r="J88">
        <v>10</v>
      </c>
    </row>
    <row r="89" spans="1:10" x14ac:dyDescent="0.3">
      <c r="A89" s="6" t="s">
        <v>30</v>
      </c>
      <c r="B89">
        <v>79500</v>
      </c>
      <c r="I89" s="6" t="s">
        <v>30</v>
      </c>
      <c r="J89">
        <v>10</v>
      </c>
    </row>
    <row r="90" spans="1:10" x14ac:dyDescent="0.3">
      <c r="A90" s="6" t="s">
        <v>20</v>
      </c>
      <c r="B90">
        <v>129000</v>
      </c>
      <c r="I90" s="6" t="s">
        <v>20</v>
      </c>
      <c r="J90">
        <v>10</v>
      </c>
    </row>
    <row r="91" spans="1:10" x14ac:dyDescent="0.3">
      <c r="A91" s="6" t="s">
        <v>15</v>
      </c>
      <c r="B91">
        <v>323000</v>
      </c>
      <c r="I91" s="6" t="s">
        <v>15</v>
      </c>
      <c r="J91">
        <v>20</v>
      </c>
    </row>
    <row r="92" spans="1:10" x14ac:dyDescent="0.3">
      <c r="A92" s="6" t="s">
        <v>58</v>
      </c>
      <c r="B92">
        <v>725000</v>
      </c>
      <c r="I92" s="6" t="s">
        <v>58</v>
      </c>
      <c r="J92">
        <v>60</v>
      </c>
    </row>
    <row r="100" spans="1:10" x14ac:dyDescent="0.3">
      <c r="A100" s="23" t="s">
        <v>57</v>
      </c>
      <c r="B100" t="s">
        <v>63</v>
      </c>
      <c r="I100" s="23" t="s">
        <v>57</v>
      </c>
      <c r="J100" t="s">
        <v>62</v>
      </c>
    </row>
    <row r="101" spans="1:10" x14ac:dyDescent="0.3">
      <c r="A101" s="6" t="s">
        <v>24</v>
      </c>
      <c r="B101">
        <v>30</v>
      </c>
      <c r="I101" s="6" t="s">
        <v>24</v>
      </c>
      <c r="J101">
        <v>10</v>
      </c>
    </row>
    <row r="102" spans="1:10" x14ac:dyDescent="0.3">
      <c r="A102" s="6" t="s">
        <v>28</v>
      </c>
      <c r="B102">
        <v>50</v>
      </c>
      <c r="I102" s="24" t="s">
        <v>17</v>
      </c>
      <c r="J102">
        <v>10</v>
      </c>
    </row>
    <row r="103" spans="1:10" x14ac:dyDescent="0.3">
      <c r="A103" s="6" t="s">
        <v>30</v>
      </c>
      <c r="B103">
        <v>20</v>
      </c>
      <c r="I103" s="6" t="s">
        <v>28</v>
      </c>
      <c r="J103">
        <v>10</v>
      </c>
    </row>
    <row r="104" spans="1:10" x14ac:dyDescent="0.3">
      <c r="A104" s="6" t="s">
        <v>20</v>
      </c>
      <c r="B104">
        <v>40</v>
      </c>
      <c r="I104" s="24" t="s">
        <v>22</v>
      </c>
      <c r="J104">
        <v>10</v>
      </c>
    </row>
    <row r="105" spans="1:10" x14ac:dyDescent="0.3">
      <c r="A105" s="6" t="s">
        <v>15</v>
      </c>
      <c r="B105">
        <v>90</v>
      </c>
      <c r="I105" s="6" t="s">
        <v>30</v>
      </c>
      <c r="J105">
        <v>10</v>
      </c>
    </row>
    <row r="106" spans="1:10" x14ac:dyDescent="0.3">
      <c r="A106" s="6" t="s">
        <v>58</v>
      </c>
      <c r="B106">
        <v>230</v>
      </c>
      <c r="I106" s="24" t="s">
        <v>17</v>
      </c>
      <c r="J106">
        <v>10</v>
      </c>
    </row>
    <row r="107" spans="1:10" x14ac:dyDescent="0.3">
      <c r="I107" s="6" t="s">
        <v>20</v>
      </c>
      <c r="J107">
        <v>10</v>
      </c>
    </row>
    <row r="108" spans="1:10" x14ac:dyDescent="0.3">
      <c r="I108" s="24" t="s">
        <v>22</v>
      </c>
      <c r="J108">
        <v>10</v>
      </c>
    </row>
    <row r="109" spans="1:10" x14ac:dyDescent="0.3">
      <c r="I109" s="6" t="s">
        <v>15</v>
      </c>
      <c r="J109">
        <v>20</v>
      </c>
    </row>
    <row r="110" spans="1:10" x14ac:dyDescent="0.3">
      <c r="I110" s="24" t="s">
        <v>22</v>
      </c>
      <c r="J110">
        <v>10</v>
      </c>
    </row>
    <row r="111" spans="1:10" x14ac:dyDescent="0.3">
      <c r="I111" s="24" t="s">
        <v>17</v>
      </c>
      <c r="J111">
        <v>10</v>
      </c>
    </row>
    <row r="112" spans="1:10" x14ac:dyDescent="0.3">
      <c r="I112" s="6" t="s">
        <v>58</v>
      </c>
      <c r="J112">
        <v>60</v>
      </c>
    </row>
    <row r="116" spans="1:10" x14ac:dyDescent="0.3">
      <c r="A116" s="23" t="s">
        <v>57</v>
      </c>
      <c r="B116" t="s">
        <v>59</v>
      </c>
      <c r="I116" s="23" t="s">
        <v>57</v>
      </c>
      <c r="J116" t="s">
        <v>64</v>
      </c>
    </row>
    <row r="117" spans="1:10" x14ac:dyDescent="0.3">
      <c r="A117" s="6" t="s">
        <v>23</v>
      </c>
      <c r="B117">
        <v>1490000</v>
      </c>
      <c r="I117" s="6" t="s">
        <v>24</v>
      </c>
      <c r="J117" s="25">
        <v>87.9</v>
      </c>
    </row>
    <row r="118" spans="1:10" x14ac:dyDescent="0.3">
      <c r="A118" s="6" t="s">
        <v>14</v>
      </c>
      <c r="B118">
        <v>1890000</v>
      </c>
      <c r="I118" s="6" t="s">
        <v>28</v>
      </c>
      <c r="J118" s="25">
        <v>96</v>
      </c>
    </row>
    <row r="119" spans="1:10" x14ac:dyDescent="0.3">
      <c r="A119" s="6" t="s">
        <v>32</v>
      </c>
      <c r="B119">
        <v>1340000</v>
      </c>
      <c r="I119" s="6" t="s">
        <v>30</v>
      </c>
      <c r="J119" s="25">
        <v>83.1</v>
      </c>
    </row>
    <row r="120" spans="1:10" x14ac:dyDescent="0.3">
      <c r="A120" s="6" t="s">
        <v>27</v>
      </c>
      <c r="B120">
        <v>1190000</v>
      </c>
      <c r="I120" s="6" t="s">
        <v>20</v>
      </c>
      <c r="J120" s="25">
        <v>91.7</v>
      </c>
    </row>
    <row r="121" spans="1:10" x14ac:dyDescent="0.3">
      <c r="A121" s="6" t="s">
        <v>19</v>
      </c>
      <c r="B121">
        <v>1290000</v>
      </c>
      <c r="I121" s="6" t="s">
        <v>15</v>
      </c>
      <c r="J121" s="25">
        <v>95.1</v>
      </c>
    </row>
    <row r="122" spans="1:10" x14ac:dyDescent="0.3">
      <c r="A122" s="6" t="s">
        <v>29</v>
      </c>
      <c r="B122">
        <v>1590000</v>
      </c>
      <c r="I122" s="6" t="s">
        <v>58</v>
      </c>
      <c r="J122" s="25">
        <v>91.483333333333334</v>
      </c>
    </row>
    <row r="123" spans="1:10" x14ac:dyDescent="0.3">
      <c r="A123" s="6" t="s">
        <v>58</v>
      </c>
      <c r="B123">
        <v>8790000</v>
      </c>
    </row>
    <row r="130" spans="1:10" x14ac:dyDescent="0.3">
      <c r="I130" s="23" t="s">
        <v>57</v>
      </c>
      <c r="J130" t="s">
        <v>59</v>
      </c>
    </row>
    <row r="131" spans="1:10" x14ac:dyDescent="0.3">
      <c r="I131" s="6" t="s">
        <v>13</v>
      </c>
      <c r="J131">
        <v>825000</v>
      </c>
    </row>
    <row r="132" spans="1:10" x14ac:dyDescent="0.3">
      <c r="I132" s="6" t="s">
        <v>33</v>
      </c>
      <c r="J132">
        <v>837000</v>
      </c>
    </row>
    <row r="133" spans="1:10" x14ac:dyDescent="0.3">
      <c r="A133" s="23" t="s">
        <v>57</v>
      </c>
      <c r="B133" t="s">
        <v>61</v>
      </c>
      <c r="I133" s="6" t="s">
        <v>34</v>
      </c>
      <c r="J133">
        <v>849000</v>
      </c>
    </row>
    <row r="134" spans="1:10" x14ac:dyDescent="0.3">
      <c r="A134" s="6" t="s">
        <v>24</v>
      </c>
      <c r="B134">
        <v>74500</v>
      </c>
      <c r="I134" s="6" t="s">
        <v>35</v>
      </c>
      <c r="J134">
        <v>861000</v>
      </c>
    </row>
    <row r="135" spans="1:10" x14ac:dyDescent="0.3">
      <c r="A135" s="6" t="s">
        <v>28</v>
      </c>
      <c r="B135">
        <v>119000</v>
      </c>
      <c r="I135" s="6" t="s">
        <v>36</v>
      </c>
      <c r="J135">
        <v>873000</v>
      </c>
    </row>
    <row r="136" spans="1:10" x14ac:dyDescent="0.3">
      <c r="A136" s="6" t="s">
        <v>30</v>
      </c>
      <c r="B136">
        <v>79500</v>
      </c>
      <c r="I136" s="6" t="s">
        <v>37</v>
      </c>
      <c r="J136">
        <v>885000</v>
      </c>
    </row>
    <row r="137" spans="1:10" x14ac:dyDescent="0.3">
      <c r="A137" s="6" t="s">
        <v>20</v>
      </c>
      <c r="B137">
        <v>129000</v>
      </c>
      <c r="I137" s="6" t="s">
        <v>38</v>
      </c>
      <c r="J137">
        <v>897000</v>
      </c>
    </row>
    <row r="138" spans="1:10" x14ac:dyDescent="0.3">
      <c r="A138" s="6" t="s">
        <v>15</v>
      </c>
      <c r="B138">
        <v>323000</v>
      </c>
      <c r="I138" s="6" t="s">
        <v>39</v>
      </c>
      <c r="J138">
        <v>909000</v>
      </c>
    </row>
    <row r="139" spans="1:10" x14ac:dyDescent="0.3">
      <c r="A139" s="6" t="s">
        <v>58</v>
      </c>
      <c r="B139">
        <v>725000</v>
      </c>
      <c r="I139" s="6" t="s">
        <v>40</v>
      </c>
      <c r="J139">
        <v>921000</v>
      </c>
    </row>
    <row r="140" spans="1:10" x14ac:dyDescent="0.3">
      <c r="I140" s="6" t="s">
        <v>41</v>
      </c>
      <c r="J140">
        <v>933000</v>
      </c>
    </row>
    <row r="141" spans="1:10" x14ac:dyDescent="0.3">
      <c r="I141" s="6" t="s">
        <v>58</v>
      </c>
      <c r="J141">
        <v>8790000</v>
      </c>
    </row>
    <row r="147" spans="1:1" ht="31.2" x14ac:dyDescent="0.3">
      <c r="A147" s="26" t="s">
        <v>65</v>
      </c>
    </row>
    <row r="149" spans="1:1" ht="23.4" x14ac:dyDescent="0.3">
      <c r="A149" s="27" t="s">
        <v>66</v>
      </c>
    </row>
    <row r="150" spans="1:1" x14ac:dyDescent="0.3">
      <c r="A150" s="28"/>
    </row>
    <row r="151" spans="1:1" x14ac:dyDescent="0.3">
      <c r="A151" s="28" t="s">
        <v>74</v>
      </c>
    </row>
    <row r="152" spans="1:1" x14ac:dyDescent="0.3">
      <c r="A152" s="28" t="s">
        <v>75</v>
      </c>
    </row>
    <row r="153" spans="1:1" x14ac:dyDescent="0.3">
      <c r="A153" s="28" t="s">
        <v>76</v>
      </c>
    </row>
    <row r="154" spans="1:1" x14ac:dyDescent="0.3">
      <c r="A154" s="28" t="s">
        <v>77</v>
      </c>
    </row>
    <row r="155" spans="1:1" ht="18" x14ac:dyDescent="0.3">
      <c r="A155" s="29" t="s">
        <v>67</v>
      </c>
    </row>
    <row r="156" spans="1:1" x14ac:dyDescent="0.3">
      <c r="A156" s="28" t="s">
        <v>78</v>
      </c>
    </row>
    <row r="157" spans="1:1" x14ac:dyDescent="0.3">
      <c r="A157" s="28" t="s">
        <v>79</v>
      </c>
    </row>
    <row r="158" spans="1:1" x14ac:dyDescent="0.3">
      <c r="A158" s="28" t="s">
        <v>68</v>
      </c>
    </row>
    <row r="159" spans="1:1" ht="18" x14ac:dyDescent="0.3">
      <c r="A159" s="29" t="s">
        <v>69</v>
      </c>
    </row>
    <row r="160" spans="1:1" x14ac:dyDescent="0.3">
      <c r="A160" s="28" t="s">
        <v>70</v>
      </c>
    </row>
    <row r="161" spans="1:1" x14ac:dyDescent="0.3">
      <c r="A161" s="28" t="s">
        <v>71</v>
      </c>
    </row>
    <row r="162" spans="1:1" x14ac:dyDescent="0.3">
      <c r="A162" s="28" t="s">
        <v>72</v>
      </c>
    </row>
    <row r="163" spans="1:1" x14ac:dyDescent="0.3">
      <c r="A163" s="28" t="s">
        <v>73</v>
      </c>
    </row>
  </sheetData>
  <conditionalFormatting sqref="H4:H63">
    <cfRule type="cellIs" dxfId="38" priority="5" operator="lessThan">
      <formula>85</formula>
    </cfRule>
    <cfRule type="cellIs" dxfId="37" priority="6" operator="greaterThan">
      <formula>85</formula>
    </cfRule>
    <cfRule type="cellIs" dxfId="36" priority="7" operator="greaterThan">
      <formula>0.85</formula>
    </cfRule>
  </conditionalFormatting>
  <conditionalFormatting sqref="J4:J63">
    <cfRule type="cellIs" dxfId="35" priority="1" operator="between">
      <formula>1</formula>
      <formula>3</formula>
    </cfRule>
    <cfRule type="cellIs" dxfId="34" priority="2" operator="lessThan">
      <formula>5</formula>
    </cfRule>
    <cfRule type="cellIs" dxfId="33" priority="3" operator="between">
      <formula>1</formula>
      <formula>2</formula>
    </cfRule>
    <cfRule type="cellIs" dxfId="32" priority="4" operator="equal">
      <formula>5</formula>
    </cfRule>
  </conditionalFormatting>
  <conditionalFormatting sqref="L4:L63">
    <cfRule type="cellIs" dxfId="31" priority="8" operator="equal">
      <formula>"Excellent"</formula>
    </cfRule>
    <cfRule type="cellIs" dxfId="30" priority="9" operator="equal">
      <formula>"Good"</formula>
    </cfRule>
    <cfRule type="cellIs" dxfId="29" priority="10" operator="equal">
      <formula>"Needs Improvement"</formula>
    </cfRule>
  </conditionalFormatting>
  <dataValidations count="1">
    <dataValidation type="list" allowBlank="1" showInputMessage="1" showErrorMessage="1" sqref="N20 N23 N26">
      <formula1>$D$4:$D$8</formula1>
    </dataValidation>
  </dataValidations>
  <pageMargins left="0.7" right="0.7" top="0.75" bottom="0.75" header="0.3" footer="0.3"/>
  <pageSetup orientation="portrait" r:id="rId11"/>
  <drawing r:id="rId12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ITSME</dc:creator>
  <cp:lastModifiedBy>ITSME</cp:lastModifiedBy>
  <dcterms:created xsi:type="dcterms:W3CDTF">2026-07-12T11:33:24Z</dcterms:created>
  <dcterms:modified xsi:type="dcterms:W3CDTF">2026-07-13T11:40:33Z</dcterms:modified>
</cp:coreProperties>
</file>